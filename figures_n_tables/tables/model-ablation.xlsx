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yoom618/Library/Mobile Documents/com~apple~CloudDocs/00-Paper/06-TSC/논문 작성/_figures and tables/tables/"/>
    </mc:Choice>
  </mc:AlternateContent>
  <xr:revisionPtr revIDLastSave="0" documentId="13_ncr:1_{AA64FDEC-BF54-B249-AFEB-A2ECE795CF48}" xr6:coauthVersionLast="47" xr6:coauthVersionMax="47" xr10:uidLastSave="{00000000-0000-0000-0000-000000000000}"/>
  <bookViews>
    <workbookView xWindow="0" yWindow="660" windowWidth="15120" windowHeight="18980" xr2:uid="{BC76D622-9BC0-A344-B0B3-54E11F39A12E}"/>
  </bookViews>
  <sheets>
    <sheet name="Summary" sheetId="1" r:id="rId1"/>
    <sheet name="Fu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2" l="1" a="1"/>
  <c r="D46" i="2" s="1"/>
  <c r="E46" i="2" a="1"/>
  <c r="E46" i="2"/>
  <c r="F46" i="2" a="1"/>
  <c r="F46" i="2" s="1"/>
  <c r="G46" i="2" a="1"/>
  <c r="G46" i="2" s="1"/>
  <c r="H46" i="2" a="1"/>
  <c r="H46" i="2" s="1"/>
  <c r="I46" i="2" a="1"/>
  <c r="I46" i="2" s="1"/>
  <c r="K46" i="2" a="1"/>
  <c r="K46" i="2" s="1"/>
  <c r="L46" i="2" a="1"/>
  <c r="L46" i="2"/>
  <c r="M46" i="2" a="1"/>
  <c r="M46" i="2" s="1"/>
  <c r="D47" i="2" a="1"/>
  <c r="D47" i="2" s="1"/>
  <c r="E47" i="2" a="1"/>
  <c r="E47" i="2" s="1"/>
  <c r="F47" i="2" a="1"/>
  <c r="F47" i="2" s="1"/>
  <c r="G47" i="2" a="1"/>
  <c r="G47" i="2"/>
  <c r="H47" i="2" a="1"/>
  <c r="H47" i="2" s="1"/>
  <c r="I47" i="2" a="1"/>
  <c r="I47" i="2" s="1"/>
  <c r="K47" i="2" a="1"/>
  <c r="K47" i="2" s="1"/>
  <c r="L47" i="2" a="1"/>
  <c r="L47" i="2"/>
  <c r="M47" i="2" a="1"/>
  <c r="M47" i="2" s="1"/>
  <c r="C46" i="2" a="1"/>
  <c r="C46" i="2" s="1"/>
  <c r="C47" i="2" a="1"/>
  <c r="C47" i="2" s="1"/>
  <c r="C45" i="2"/>
  <c r="D45" i="2"/>
  <c r="E45" i="2"/>
  <c r="F45" i="2"/>
  <c r="G45" i="2"/>
  <c r="H45" i="2"/>
  <c r="I45" i="2"/>
  <c r="J45" i="2"/>
  <c r="J80" i="2"/>
  <c r="I80" i="2"/>
  <c r="H80" i="2"/>
  <c r="G80" i="2"/>
  <c r="F80" i="2"/>
  <c r="E80" i="2"/>
  <c r="D80" i="2"/>
  <c r="C80" i="2"/>
  <c r="D50" i="2"/>
  <c r="E50" i="2"/>
  <c r="F50" i="2"/>
  <c r="G50" i="2"/>
  <c r="H50" i="2"/>
  <c r="I50" i="2"/>
  <c r="J50" i="2"/>
  <c r="D51" i="2"/>
  <c r="E51" i="2"/>
  <c r="F51" i="2"/>
  <c r="G51" i="2"/>
  <c r="H51" i="2"/>
  <c r="I51" i="2"/>
  <c r="J51" i="2"/>
  <c r="D52" i="2"/>
  <c r="E52" i="2"/>
  <c r="F52" i="2"/>
  <c r="G52" i="2"/>
  <c r="H52" i="2"/>
  <c r="I52" i="2"/>
  <c r="J52" i="2"/>
  <c r="D53" i="2"/>
  <c r="E53" i="2"/>
  <c r="F53" i="2"/>
  <c r="G53" i="2"/>
  <c r="H53" i="2"/>
  <c r="I53" i="2"/>
  <c r="J53" i="2"/>
  <c r="D54" i="2"/>
  <c r="E54" i="2"/>
  <c r="F54" i="2"/>
  <c r="G54" i="2"/>
  <c r="H54" i="2"/>
  <c r="I54" i="2"/>
  <c r="J54" i="2"/>
  <c r="D55" i="2"/>
  <c r="E55" i="2"/>
  <c r="F55" i="2"/>
  <c r="G55" i="2"/>
  <c r="H55" i="2"/>
  <c r="I55" i="2"/>
  <c r="J55" i="2"/>
  <c r="D56" i="2"/>
  <c r="E56" i="2"/>
  <c r="F56" i="2"/>
  <c r="G56" i="2"/>
  <c r="H56" i="2"/>
  <c r="I56" i="2"/>
  <c r="J56" i="2"/>
  <c r="D57" i="2"/>
  <c r="E57" i="2"/>
  <c r="F57" i="2"/>
  <c r="G57" i="2"/>
  <c r="H57" i="2"/>
  <c r="I57" i="2"/>
  <c r="J57" i="2"/>
  <c r="D58" i="2"/>
  <c r="E58" i="2"/>
  <c r="F58" i="2"/>
  <c r="G58" i="2"/>
  <c r="H58" i="2"/>
  <c r="I58" i="2"/>
  <c r="J58" i="2"/>
  <c r="D59" i="2"/>
  <c r="E59" i="2"/>
  <c r="F59" i="2"/>
  <c r="G59" i="2"/>
  <c r="H59" i="2"/>
  <c r="I59" i="2"/>
  <c r="J59" i="2"/>
  <c r="D60" i="2"/>
  <c r="E60" i="2"/>
  <c r="F60" i="2"/>
  <c r="G60" i="2"/>
  <c r="H60" i="2"/>
  <c r="I60" i="2"/>
  <c r="J60" i="2"/>
  <c r="D61" i="2"/>
  <c r="E61" i="2"/>
  <c r="F61" i="2"/>
  <c r="G61" i="2"/>
  <c r="H61" i="2"/>
  <c r="I61" i="2"/>
  <c r="J61" i="2"/>
  <c r="D62" i="2"/>
  <c r="E62" i="2"/>
  <c r="F62" i="2"/>
  <c r="G62" i="2"/>
  <c r="H62" i="2"/>
  <c r="I62" i="2"/>
  <c r="J62" i="2"/>
  <c r="D63" i="2"/>
  <c r="E63" i="2"/>
  <c r="F63" i="2"/>
  <c r="G63" i="2"/>
  <c r="H63" i="2"/>
  <c r="I63" i="2"/>
  <c r="J63" i="2"/>
  <c r="D64" i="2"/>
  <c r="E64" i="2"/>
  <c r="F64" i="2"/>
  <c r="G64" i="2"/>
  <c r="H64" i="2"/>
  <c r="I64" i="2"/>
  <c r="J64" i="2"/>
  <c r="D65" i="2"/>
  <c r="E65" i="2"/>
  <c r="F65" i="2"/>
  <c r="G65" i="2"/>
  <c r="H65" i="2"/>
  <c r="I65" i="2"/>
  <c r="J65" i="2"/>
  <c r="D66" i="2"/>
  <c r="E66" i="2"/>
  <c r="F66" i="2"/>
  <c r="G66" i="2"/>
  <c r="H66" i="2"/>
  <c r="I66" i="2"/>
  <c r="J66" i="2"/>
  <c r="D67" i="2"/>
  <c r="E67" i="2"/>
  <c r="F67" i="2"/>
  <c r="G67" i="2"/>
  <c r="H67" i="2"/>
  <c r="I67" i="2"/>
  <c r="J67" i="2"/>
  <c r="D68" i="2"/>
  <c r="E68" i="2"/>
  <c r="F68" i="2"/>
  <c r="G68" i="2"/>
  <c r="H68" i="2"/>
  <c r="I68" i="2"/>
  <c r="J68" i="2"/>
  <c r="D69" i="2"/>
  <c r="E69" i="2"/>
  <c r="F69" i="2"/>
  <c r="G69" i="2"/>
  <c r="H69" i="2"/>
  <c r="I69" i="2"/>
  <c r="J69" i="2"/>
  <c r="D70" i="2"/>
  <c r="E70" i="2"/>
  <c r="F70" i="2"/>
  <c r="G70" i="2"/>
  <c r="H70" i="2"/>
  <c r="I70" i="2"/>
  <c r="J70" i="2"/>
  <c r="D71" i="2"/>
  <c r="E71" i="2"/>
  <c r="F71" i="2"/>
  <c r="G71" i="2"/>
  <c r="H71" i="2"/>
  <c r="I71" i="2"/>
  <c r="J71" i="2"/>
  <c r="D72" i="2"/>
  <c r="E72" i="2"/>
  <c r="F72" i="2"/>
  <c r="G72" i="2"/>
  <c r="H72" i="2"/>
  <c r="I72" i="2"/>
  <c r="J72" i="2"/>
  <c r="D73" i="2"/>
  <c r="E73" i="2"/>
  <c r="F73" i="2"/>
  <c r="G73" i="2"/>
  <c r="H73" i="2"/>
  <c r="I73" i="2"/>
  <c r="J73" i="2"/>
  <c r="D74" i="2"/>
  <c r="E74" i="2"/>
  <c r="F74" i="2"/>
  <c r="G74" i="2"/>
  <c r="H74" i="2"/>
  <c r="I74" i="2"/>
  <c r="J74" i="2"/>
  <c r="D75" i="2"/>
  <c r="E75" i="2"/>
  <c r="F75" i="2"/>
  <c r="G75" i="2"/>
  <c r="H75" i="2"/>
  <c r="I75" i="2"/>
  <c r="J75" i="2"/>
  <c r="D76" i="2"/>
  <c r="E76" i="2"/>
  <c r="F76" i="2"/>
  <c r="G76" i="2"/>
  <c r="H76" i="2"/>
  <c r="I76" i="2"/>
  <c r="J76" i="2"/>
  <c r="D77" i="2"/>
  <c r="E77" i="2"/>
  <c r="F77" i="2"/>
  <c r="G77" i="2"/>
  <c r="H77" i="2"/>
  <c r="I77" i="2"/>
  <c r="J77" i="2"/>
  <c r="D78" i="2"/>
  <c r="E78" i="2"/>
  <c r="F78" i="2"/>
  <c r="G78" i="2"/>
  <c r="H78" i="2"/>
  <c r="I78" i="2"/>
  <c r="J78" i="2"/>
  <c r="D79" i="2"/>
  <c r="E79" i="2"/>
  <c r="F79" i="2"/>
  <c r="G79" i="2"/>
  <c r="H79" i="2"/>
  <c r="I79" i="2"/>
  <c r="J79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50" i="2"/>
  <c r="C44" i="2"/>
  <c r="D44" i="2"/>
  <c r="E44" i="2"/>
  <c r="F44" i="2"/>
  <c r="G44" i="2"/>
  <c r="H44" i="2"/>
  <c r="I44" i="2"/>
  <c r="J44" i="2"/>
  <c r="C43" i="2"/>
  <c r="D43" i="2"/>
  <c r="E43" i="2"/>
  <c r="F43" i="2"/>
  <c r="G43" i="2"/>
  <c r="H43" i="2"/>
  <c r="I43" i="2"/>
  <c r="J43" i="2"/>
  <c r="M6" i="1" l="1"/>
  <c r="M7" i="1"/>
  <c r="M8" i="1"/>
  <c r="M9" i="1"/>
  <c r="M10" i="1"/>
  <c r="M11" i="1"/>
  <c r="M12" i="1"/>
  <c r="L7" i="1"/>
  <c r="L8" i="1"/>
  <c r="L9" i="1"/>
  <c r="L10" i="1"/>
  <c r="L11" i="1"/>
  <c r="L12" i="1"/>
  <c r="L13" i="1"/>
  <c r="L14" i="1"/>
  <c r="L6" i="1"/>
  <c r="F13" i="1"/>
  <c r="G13" i="1"/>
  <c r="F5" i="1" l="1"/>
  <c r="F14" i="1"/>
  <c r="F12" i="1"/>
  <c r="F11" i="1"/>
  <c r="F9" i="1"/>
  <c r="F10" i="1"/>
  <c r="F8" i="1"/>
  <c r="F7" i="1"/>
  <c r="F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<sst xmlns="http://schemas.openxmlformats.org/spreadsheetml/2006/main" count="396" uniqueCount="152">
  <si>
    <t>✘</t>
  </si>
  <si>
    <t>Mamba</t>
    <phoneticPr fontId="2" type="noConversion"/>
  </si>
  <si>
    <t>✘ (last timestep)</t>
  </si>
  <si>
    <t>✔</t>
  </si>
  <si>
    <r>
      <rPr>
        <sz val="12"/>
        <color theme="1"/>
        <rFont val="Segoe UI Symbol"/>
        <family val="2"/>
        <charset val="129"/>
      </rPr>
      <t>✘</t>
    </r>
    <r>
      <rPr>
        <sz val="12"/>
        <color theme="1"/>
        <rFont val="맑은 고딕"/>
        <family val="2"/>
        <charset val="129"/>
        <scheme val="minor"/>
      </rPr>
      <t xml:space="preserve"> (max pooling)</t>
    </r>
    <phoneticPr fontId="2" type="noConversion"/>
  </si>
  <si>
    <t>✘ (avg pooling)</t>
  </si>
  <si>
    <t>MambaSL</t>
    <phoneticPr fontId="2" type="noConversion"/>
  </si>
  <si>
    <t>✔ : not use D
✘ : use D</t>
  </si>
  <si>
    <t>✔ : modular TV/TI
✘ : TV only</t>
  </si>
  <si>
    <r>
      <rPr>
        <sz val="12"/>
        <color theme="1"/>
        <rFont val="Apple Color Emoji"/>
        <family val="2"/>
      </rPr>
      <t>✔</t>
    </r>
    <r>
      <rPr>
        <sz val="12"/>
        <color theme="1"/>
        <rFont val="맑은 고딕"/>
        <family val="2"/>
        <charset val="129"/>
        <scheme val="minor"/>
      </rPr>
      <t xml:space="preserve"> : $k=0.02L$
</t>
    </r>
    <r>
      <rPr>
        <sz val="12"/>
        <color theme="1"/>
        <rFont val="Segoe UI Symbol"/>
        <family val="2"/>
      </rPr>
      <t>✘</t>
    </r>
    <r>
      <rPr>
        <sz val="12"/>
        <color theme="1"/>
        <rFont val="맑은 고딕"/>
        <family val="2"/>
        <charset val="129"/>
        <scheme val="minor"/>
      </rPr>
      <t xml:space="preserve"> : $k=3$</t>
    </r>
    <phoneticPr fontId="2" type="noConversion"/>
  </si>
  <si>
    <t>aggregation (H4)</t>
    <phoneticPr fontId="2" type="noConversion"/>
  </si>
  <si>
    <t>skip connection (H3)</t>
    <phoneticPr fontId="2" type="noConversion"/>
  </si>
  <si>
    <t>modular SSM (H2)</t>
    <phoneticPr fontId="2" type="noConversion"/>
  </si>
  <si>
    <t>kernel size (H1)</t>
    <phoneticPr fontId="2" type="noConversion"/>
  </si>
  <si>
    <t>output projection</t>
    <phoneticPr fontId="2" type="noConversion"/>
  </si>
  <si>
    <t>Mamba structure</t>
    <phoneticPr fontId="2" type="noConversion"/>
  </si>
  <si>
    <t>input projection</t>
    <phoneticPr fontId="2" type="noConversion"/>
  </si>
  <si>
    <r>
      <rPr>
        <sz val="12"/>
        <color theme="1"/>
        <rFont val="Segoe UI Symbol"/>
        <family val="2"/>
        <charset val="129"/>
      </rPr>
      <t>✘</t>
    </r>
    <r>
      <rPr>
        <sz val="12"/>
        <color theme="1"/>
        <rFont val="맑은 고딕"/>
        <family val="2"/>
        <charset val="129"/>
        <scheme val="minor"/>
      </rPr>
      <t xml:space="preserve"> (fully connect)</t>
    </r>
    <phoneticPr fontId="2" type="noConversion"/>
  </si>
  <si>
    <r>
      <rPr>
        <sz val="12"/>
        <color theme="1"/>
        <rFont val="Apple Color Emoji"/>
        <family val="2"/>
        <charset val="129"/>
      </rPr>
      <t>✔</t>
    </r>
    <r>
      <rPr>
        <sz val="12"/>
        <color theme="1"/>
        <rFont val="맑은 고딕"/>
        <family val="2"/>
        <charset val="129"/>
        <scheme val="minor"/>
      </rPr>
      <t xml:space="preserve"> : adaptive pool.
</t>
    </r>
    <r>
      <rPr>
        <sz val="12"/>
        <color theme="1"/>
        <rFont val="Segoe UI Symbol"/>
        <family val="2"/>
        <charset val="129"/>
      </rPr>
      <t>✘</t>
    </r>
    <r>
      <rPr>
        <sz val="12"/>
        <color theme="1"/>
        <rFont val="맑은 고딕"/>
        <family val="2"/>
        <charset val="129"/>
        <scheme val="minor"/>
      </rPr>
      <t xml:space="preserve"> : the others</t>
    </r>
    <phoneticPr fontId="2" type="noConversion"/>
  </si>
  <si>
    <t>\quad w/o H1</t>
    <phoneticPr fontId="2" type="noConversion"/>
  </si>
  <si>
    <t>\quad w/o H2</t>
    <phoneticPr fontId="2" type="noConversion"/>
  </si>
  <si>
    <t>avg. 
accuracy
(10)</t>
    <phoneticPr fontId="2" type="noConversion"/>
  </si>
  <si>
    <t>avg. 
rank</t>
    <phoneticPr fontId="2" type="noConversion"/>
  </si>
  <si>
    <t># win
/draw</t>
    <phoneticPr fontId="2" type="noConversion"/>
  </si>
  <si>
    <t># lose
/draw</t>
    <phoneticPr fontId="2" type="noConversion"/>
  </si>
  <si>
    <t>avg. 
accuracy</t>
    <phoneticPr fontId="2" type="noConversion"/>
  </si>
  <si>
    <t>\quad w/o H3</t>
    <phoneticPr fontId="2" type="noConversion"/>
  </si>
  <si>
    <t>\quad w/o H4</t>
    <phoneticPr fontId="2" type="noConversion"/>
  </si>
  <si>
    <t>input projection</t>
  </si>
  <si>
    <t>Mamba structure</t>
  </si>
  <si>
    <t>output projection</t>
  </si>
  <si>
    <t>kernel size (H1)</t>
  </si>
  <si>
    <t>modular SSM (H2)</t>
  </si>
  <si>
    <t>aggregation (H4)</t>
  </si>
  <si>
    <t>✔ : $k=0.02L$
✘ : $k=3$</t>
  </si>
  <si>
    <t>✔ : adaptive pool.
✘ : the others</t>
  </si>
  <si>
    <t>avg. 
accuracy</t>
  </si>
  <si>
    <t>avg. 
rank</t>
  </si>
  <si>
    <t># win
/draw</t>
  </si>
  <si>
    <t># lose
/draw</t>
  </si>
  <si>
    <t>MambaSL</t>
  </si>
  <si>
    <t>.</t>
  </si>
  <si>
    <t>\quad w/o H1</t>
  </si>
  <si>
    <t>\quad w/o H2</t>
  </si>
  <si>
    <t>\quad w/o H3</t>
  </si>
  <si>
    <t>\quad w/o H4</t>
  </si>
  <si>
    <t>✘ (fully connect)</t>
  </si>
  <si>
    <t>✘ (max pooling)</t>
  </si>
  <si>
    <t>Mamba</t>
  </si>
  <si>
    <t>w/o H1</t>
    <phoneticPr fontId="2" type="noConversion"/>
  </si>
  <si>
    <t>proposed</t>
    <phoneticPr fontId="2" type="noConversion"/>
  </si>
  <si>
    <t>w/o H2</t>
    <phoneticPr fontId="2" type="noConversion"/>
  </si>
  <si>
    <t>w/o H3</t>
    <phoneticPr fontId="2" type="noConversion"/>
  </si>
  <si>
    <t>w/o H4</t>
    <phoneticPr fontId="2" type="noConversion"/>
  </si>
  <si>
    <t>d_model</t>
    <phoneticPr fontId="2" type="noConversion"/>
  </si>
  <si>
    <t>d_conv</t>
    <phoneticPr fontId="2" type="noConversion"/>
  </si>
  <si>
    <t>expand</t>
    <phoneticPr fontId="2" type="noConversion"/>
  </si>
  <si>
    <t>d_state</t>
    <phoneticPr fontId="2" type="noConversion"/>
  </si>
  <si>
    <t>1,2,4</t>
    <phoneticPr fontId="2" type="noConversion"/>
  </si>
  <si>
    <t>additional</t>
    <phoneticPr fontId="2" type="noConversion"/>
  </si>
  <si>
    <t>ablation</t>
  </si>
  <si>
    <t>ablation</t>
    <phoneticPr fontId="2" type="noConversion"/>
  </si>
  <si>
    <t>FD</t>
  </si>
  <si>
    <t>HW</t>
  </si>
  <si>
    <t>HB</t>
  </si>
  <si>
    <t>PEMS</t>
  </si>
  <si>
    <t>SRS1</t>
  </si>
  <si>
    <t>SRS2</t>
  </si>
  <si>
    <t>UW</t>
  </si>
  <si>
    <t>AWR</t>
  </si>
  <si>
    <t>AF</t>
  </si>
  <si>
    <t>BM</t>
  </si>
  <si>
    <t>CR</t>
  </si>
  <si>
    <t>DDG</t>
  </si>
  <si>
    <t>EW</t>
  </si>
  <si>
    <t>EP</t>
  </si>
  <si>
    <t>FM</t>
  </si>
  <si>
    <t>HMD</t>
  </si>
  <si>
    <t>LIB</t>
  </si>
  <si>
    <t>LSST</t>
  </si>
  <si>
    <t>MI</t>
  </si>
  <si>
    <t>NATO</t>
  </si>
  <si>
    <t>PD</t>
  </si>
  <si>
    <t>PS</t>
  </si>
  <si>
    <t>RS</t>
  </si>
  <si>
    <t>SWJ</t>
  </si>
  <si>
    <t>EC</t>
  </si>
  <si>
    <t>JV</t>
  </si>
  <si>
    <t>SAD</t>
  </si>
  <si>
    <t>CT</t>
  </si>
  <si>
    <t>ER</t>
  </si>
  <si>
    <t>IW</t>
  </si>
  <si>
    <t>avg. accuracy (10)</t>
    <phoneticPr fontId="2" type="noConversion"/>
  </si>
  <si>
    <t>avg. accuracy (all)</t>
    <phoneticPr fontId="2" type="noConversion"/>
  </si>
  <si>
    <t>avg. rank</t>
    <phoneticPr fontId="2" type="noConversion"/>
  </si>
  <si>
    <t># of win/draw</t>
    <phoneticPr fontId="2" type="noConversion"/>
  </si>
  <si>
    <t># of lose/draw</t>
    <phoneticPr fontId="2" type="noConversion"/>
  </si>
  <si>
    <t>.</t>
    <phoneticPr fontId="2" type="noConversion"/>
  </si>
  <si>
    <t># of exp.</t>
    <phoneticPr fontId="2" type="noConversion"/>
  </si>
  <si>
    <t>Model</t>
    <phoneticPr fontId="2" type="noConversion"/>
  </si>
  <si>
    <r>
      <rPr>
        <sz val="12"/>
        <color theme="1"/>
        <rFont val="Segoe UI Symbol"/>
        <family val="2"/>
      </rPr>
      <t>✘</t>
    </r>
    <r>
      <rPr>
        <sz val="12"/>
        <color theme="1"/>
        <rFont val="맑은 고딕"/>
        <family val="2"/>
        <charset val="129"/>
        <scheme val="minor"/>
      </rPr>
      <t xml:space="preserve"> (full)</t>
    </r>
    <phoneticPr fontId="2" type="noConversion"/>
  </si>
  <si>
    <r>
      <rPr>
        <sz val="12"/>
        <color theme="1"/>
        <rFont val="Segoe UI Symbol"/>
        <family val="2"/>
      </rPr>
      <t>✘</t>
    </r>
    <r>
      <rPr>
        <sz val="12"/>
        <color theme="1"/>
        <rFont val="맑은 고딕"/>
        <family val="2"/>
        <charset val="129"/>
        <scheme val="minor"/>
      </rPr>
      <t xml:space="preserve"> (avg)</t>
    </r>
    <phoneticPr fontId="2" type="noConversion"/>
  </si>
  <si>
    <r>
      <rPr>
        <sz val="12"/>
        <color theme="1"/>
        <rFont val="Segoe UI Symbol"/>
        <family val="2"/>
      </rPr>
      <t>✘</t>
    </r>
    <r>
      <rPr>
        <sz val="12"/>
        <color theme="1"/>
        <rFont val="맑은 고딕"/>
        <family val="2"/>
        <charset val="129"/>
        <scheme val="minor"/>
      </rPr>
      <t xml:space="preserve"> (max)</t>
    </r>
    <phoneticPr fontId="2" type="noConversion"/>
  </si>
  <si>
    <r>
      <t>✘</t>
    </r>
    <r>
      <rPr>
        <sz val="12"/>
        <color rgb="FF000000"/>
        <rFont val="맑은 고딕"/>
        <family val="2"/>
        <charset val="129"/>
        <scheme val="minor"/>
      </rPr>
      <t xml:space="preserve"> (last)</t>
    </r>
    <phoneticPr fontId="2" type="noConversion"/>
  </si>
  <si>
    <t>\cmark</t>
  </si>
  <si>
    <t>\xmark</t>
  </si>
  <si>
    <t>\xmark (full)</t>
  </si>
  <si>
    <t>\xmark (avg)</t>
  </si>
  <si>
    <t>\xmark (max)</t>
  </si>
  <si>
    <t>\xmark (last)</t>
  </si>
  <si>
    <t>EthanolConcentration</t>
  </si>
  <si>
    <t>FaceDetection</t>
  </si>
  <si>
    <t>Handwriting</t>
  </si>
  <si>
    <t>Heartbeat</t>
  </si>
  <si>
    <t>JapaneseVowels</t>
  </si>
  <si>
    <t>PEMS-SF</t>
  </si>
  <si>
    <t>SelfRegulationSCP1</t>
  </si>
  <si>
    <t>SelfRegulationSCP2</t>
  </si>
  <si>
    <t>SpokenArabicDigits</t>
  </si>
  <si>
    <t>UWaveGestureLibrary</t>
  </si>
  <si>
    <t>ArticularyWordRecognition</t>
  </si>
  <si>
    <t>AtrialFibrillation</t>
  </si>
  <si>
    <t>BasicMotions</t>
  </si>
  <si>
    <t>CharacterTrajectories</t>
  </si>
  <si>
    <t>Cricket</t>
  </si>
  <si>
    <t>DuckDuckGeese</t>
  </si>
  <si>
    <t>EigenWorms</t>
  </si>
  <si>
    <t>Epilepsy</t>
  </si>
  <si>
    <t>ERing</t>
  </si>
  <si>
    <t>FingerMovements</t>
  </si>
  <si>
    <t>HandMovementDirection</t>
  </si>
  <si>
    <t>InsectWingbeat</t>
  </si>
  <si>
    <t>Libras</t>
  </si>
  <si>
    <t>MotorImagery</t>
  </si>
  <si>
    <t>NATOPS</t>
  </si>
  <si>
    <t>PenDigits</t>
  </si>
  <si>
    <t>PhonemeSpectra</t>
  </si>
  <si>
    <t>RacketSports</t>
  </si>
  <si>
    <t>StandWalkJump</t>
  </si>
  <si>
    <r>
      <rPr>
        <b/>
        <sz val="12"/>
        <color theme="1"/>
        <rFont val="맑은 고딕"/>
        <family val="2"/>
        <charset val="129"/>
        <scheme val="minor"/>
      </rPr>
      <t>kernel size (H1)</t>
    </r>
    <r>
      <rPr>
        <sz val="12"/>
        <color theme="1"/>
        <rFont val="맑은 고딕"/>
        <family val="2"/>
        <charset val="129"/>
        <scheme val="minor"/>
      </rPr>
      <t xml:space="preserve">
\cmark : $k=0.02L$
\xmark : $k=3$</t>
    </r>
    <phoneticPr fontId="2" type="noConversion"/>
  </si>
  <si>
    <r>
      <rPr>
        <b/>
        <sz val="12"/>
        <color theme="1"/>
        <rFont val="맑은 고딕"/>
        <family val="2"/>
        <charset val="129"/>
        <scheme val="minor"/>
      </rPr>
      <t>aggregation (H4)</t>
    </r>
    <r>
      <rPr>
        <sz val="12"/>
        <color theme="1"/>
        <rFont val="맑은 고딕"/>
        <family val="2"/>
        <charset val="129"/>
        <scheme val="minor"/>
      </rPr>
      <t xml:space="preserve">
\cmark : adaptive pool.
\xmark : the others</t>
    </r>
    <phoneticPr fontId="2" type="noConversion"/>
  </si>
  <si>
    <r>
      <rPr>
        <b/>
        <sz val="12"/>
        <color theme="1"/>
        <rFont val="맑은 고딕"/>
        <family val="2"/>
        <charset val="129"/>
        <scheme val="minor"/>
      </rPr>
      <t xml:space="preserve">modular SSM (H2)
</t>
    </r>
    <r>
      <rPr>
        <sz val="12"/>
        <color theme="1"/>
        <rFont val="맑은 고딕"/>
        <family val="2"/>
        <charset val="129"/>
        <scheme val="minor"/>
      </rPr>
      <t>\cmark : modular TV/TI
\xmark : TV only</t>
    </r>
    <phoneticPr fontId="2" type="noConversion"/>
  </si>
  <si>
    <r>
      <rPr>
        <b/>
        <sz val="12"/>
        <color theme="1"/>
        <rFont val="맑은 고딕"/>
        <family val="2"/>
        <charset val="129"/>
        <scheme val="minor"/>
      </rPr>
      <t xml:space="preserve">skip connection (H3)
</t>
    </r>
    <r>
      <rPr>
        <sz val="12"/>
        <color theme="1"/>
        <rFont val="맑은 고딕"/>
        <family val="2"/>
        <charset val="129"/>
        <scheme val="minor"/>
      </rPr>
      <t>\cmark : not use D
\xmark : use D</t>
    </r>
    <phoneticPr fontId="2" type="noConversion"/>
  </si>
  <si>
    <t>32..1024</t>
  </si>
  <si>
    <t>1..16</t>
  </si>
  <si>
    <t>\# of win/draw</t>
    <phoneticPr fontId="2" type="noConversion"/>
  </si>
  <si>
    <t>\# of lose/draw</t>
    <phoneticPr fontId="2" type="noConversion"/>
  </si>
  <si>
    <t>\# of exp.</t>
    <phoneticPr fontId="2" type="noConversion"/>
  </si>
  <si>
    <t>w/ H2</t>
    <phoneticPr fontId="2" type="noConversion"/>
  </si>
  <si>
    <t>\quad only H2</t>
    <phoneticPr fontId="2" type="noConversion"/>
  </si>
  <si>
    <t>acc
diff</t>
    <phoneticPr fontId="2" type="noConversion"/>
  </si>
  <si>
    <t>rank
diff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</si>
</sst>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0.00_);[Red]\(0.00\)"/>
    <numFmt numFmtId="178" formatCode="0.000"/>
    <numFmt numFmtId="179" formatCode="0.000_);[Red]\(0.000\)"/>
  </numFmts>
  <fonts count="13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Segoe UI Symbol"/>
      <family val="2"/>
      <charset val="129"/>
    </font>
    <font>
      <i/>
      <sz val="12"/>
      <color theme="1"/>
      <name val="맑은 고딕"/>
      <family val="2"/>
      <charset val="129"/>
      <scheme val="minor"/>
    </font>
    <font>
      <u/>
      <sz val="12"/>
      <color theme="1"/>
      <name val="맑은 고딕"/>
      <family val="2"/>
      <charset val="129"/>
      <scheme val="minor"/>
    </font>
    <font>
      <sz val="12"/>
      <color rgb="FF00B050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  <font>
      <sz val="12"/>
      <color theme="1"/>
      <name val="Apple Color Emoji"/>
      <family val="2"/>
    </font>
    <font>
      <sz val="12"/>
      <color theme="1"/>
      <name val="Segoe UI Symbol"/>
      <family val="2"/>
    </font>
    <font>
      <sz val="12"/>
      <color theme="1"/>
      <name val="Apple Color Emoji"/>
      <family val="2"/>
      <charset val="129"/>
    </font>
    <font>
      <sz val="12"/>
      <color theme="1" tint="0.499984740745262"/>
      <name val="맑은 고딕"/>
      <family val="2"/>
      <charset val="129"/>
      <scheme val="minor"/>
    </font>
    <font>
      <sz val="12"/>
      <color rgb="FF000000"/>
      <name val="Segoe UI Symbo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E4D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177" fontId="5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49" fontId="7" fillId="0" borderId="0" xfId="0" applyNumberFormat="1" applyFont="1" applyAlignment="1">
      <alignment horizontal="left" vertical="center"/>
    </xf>
    <xf numFmtId="178" fontId="0" fillId="0" borderId="0" xfId="0" applyNumberFormat="1">
      <alignment vertical="center"/>
    </xf>
    <xf numFmtId="0" fontId="0" fillId="3" borderId="0" xfId="0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8" fontId="5" fillId="0" borderId="0" xfId="0" applyNumberFormat="1" applyFont="1" applyAlignment="1">
      <alignment horizontal="right" vertical="center"/>
    </xf>
    <xf numFmtId="178" fontId="1" fillId="0" borderId="0" xfId="0" applyNumberFormat="1" applyFon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2" fontId="5" fillId="0" borderId="0" xfId="0" applyNumberFormat="1" applyFont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1" fontId="0" fillId="0" borderId="0" xfId="0" applyNumberFormat="1" applyAlignment="1">
      <alignment horizontal="right" vertical="center"/>
    </xf>
    <xf numFmtId="179" fontId="1" fillId="0" borderId="0" xfId="0" applyNumberFormat="1" applyFont="1" applyAlignment="1">
      <alignment horizontal="right" vertical="center"/>
    </xf>
    <xf numFmtId="179" fontId="5" fillId="0" borderId="0" xfId="0" applyNumberFormat="1" applyFont="1">
      <alignment vertical="center"/>
    </xf>
    <xf numFmtId="179" fontId="1" fillId="0" borderId="0" xfId="0" applyNumberFormat="1" applyFont="1">
      <alignment vertical="center"/>
    </xf>
    <xf numFmtId="179" fontId="0" fillId="0" borderId="0" xfId="0" applyNumberFormat="1" applyAlignment="1">
      <alignment horizontal="right" vertical="center"/>
    </xf>
    <xf numFmtId="179" fontId="0" fillId="0" borderId="0" xfId="0" applyNumberFormat="1">
      <alignment vertical="center"/>
    </xf>
    <xf numFmtId="179" fontId="5" fillId="0" borderId="0" xfId="0" applyNumberFormat="1" applyFont="1" applyAlignment="1">
      <alignment horizontal="right" vertical="center"/>
    </xf>
    <xf numFmtId="17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61C3E-B3FA-CA46-9891-0C6B5655930B}">
  <dimension ref="A2:M30"/>
  <sheetViews>
    <sheetView tabSelected="1" topLeftCell="C2" workbookViewId="0">
      <selection activeCell="M15" sqref="M13:M15"/>
    </sheetView>
  </sheetViews>
  <sheetFormatPr baseColWidth="10" defaultRowHeight="18"/>
  <cols>
    <col min="1" max="1" width="15.140625" style="1" bestFit="1" customWidth="1"/>
    <col min="2" max="2" width="14.140625" style="1" bestFit="1" customWidth="1"/>
    <col min="3" max="3" width="16.7109375" style="1" bestFit="1" customWidth="1"/>
    <col min="4" max="4" width="18.42578125" style="1" customWidth="1"/>
    <col min="5" max="5" width="18.7109375" style="1" customWidth="1"/>
    <col min="6" max="10" width="8.140625" style="1" customWidth="1"/>
    <col min="11" max="12" width="10.7109375" style="1"/>
  </cols>
  <sheetData>
    <row r="2" spans="1:13" ht="19">
      <c r="B2" s="1" t="s">
        <v>16</v>
      </c>
      <c r="C2" s="38" t="s">
        <v>15</v>
      </c>
      <c r="D2" s="38"/>
      <c r="E2" s="10" t="s">
        <v>14</v>
      </c>
      <c r="F2" s="10"/>
    </row>
    <row r="3" spans="1:13" ht="19">
      <c r="B3" s="11" t="s">
        <v>13</v>
      </c>
      <c r="C3" s="11" t="s">
        <v>12</v>
      </c>
      <c r="D3" s="11" t="s">
        <v>11</v>
      </c>
      <c r="E3" s="11" t="s">
        <v>10</v>
      </c>
      <c r="F3" s="10"/>
    </row>
    <row r="4" spans="1:13" ht="57">
      <c r="B4" s="10" t="s">
        <v>9</v>
      </c>
      <c r="C4" s="10" t="s">
        <v>8</v>
      </c>
      <c r="D4" s="10" t="s">
        <v>7</v>
      </c>
      <c r="E4" s="10" t="s">
        <v>18</v>
      </c>
      <c r="F4" s="10" t="s">
        <v>21</v>
      </c>
      <c r="G4" s="10" t="s">
        <v>25</v>
      </c>
      <c r="H4" s="10" t="s">
        <v>22</v>
      </c>
      <c r="I4" s="10" t="s">
        <v>23</v>
      </c>
      <c r="J4" s="10" t="s">
        <v>24</v>
      </c>
      <c r="L4" s="10" t="s">
        <v>150</v>
      </c>
      <c r="M4" s="10" t="s">
        <v>151</v>
      </c>
    </row>
    <row r="5" spans="1:13">
      <c r="A5" s="9" t="s">
        <v>6</v>
      </c>
      <c r="B5" s="8" t="s">
        <v>3</v>
      </c>
      <c r="C5" s="1" t="s">
        <v>3</v>
      </c>
      <c r="D5" s="1" t="s">
        <v>3</v>
      </c>
      <c r="E5" s="1" t="s">
        <v>3</v>
      </c>
      <c r="F5" s="31">
        <f>Full!Z43</f>
        <v>78.778660895649992</v>
      </c>
      <c r="G5" s="36">
        <v>79.802264961943052</v>
      </c>
      <c r="H5" s="6">
        <v>2.43333333333333</v>
      </c>
      <c r="I5" s="3" t="s">
        <v>41</v>
      </c>
      <c r="J5" s="3" t="s">
        <v>41</v>
      </c>
      <c r="L5" s="1" t="s">
        <v>97</v>
      </c>
      <c r="M5" s="1" t="s">
        <v>97</v>
      </c>
    </row>
    <row r="6" spans="1:13">
      <c r="A6" s="7" t="s">
        <v>19</v>
      </c>
      <c r="B6" s="1" t="s">
        <v>0</v>
      </c>
      <c r="C6" s="1" t="s">
        <v>3</v>
      </c>
      <c r="D6" s="1" t="s">
        <v>3</v>
      </c>
      <c r="E6" s="1" t="s">
        <v>3</v>
      </c>
      <c r="F6" s="34">
        <f>Full!S43</f>
        <v>77.412559417921017</v>
      </c>
      <c r="G6" s="31">
        <v>80.214932277513725</v>
      </c>
      <c r="H6" s="5">
        <v>2.5333333333333332</v>
      </c>
      <c r="I6" s="2">
        <v>25</v>
      </c>
      <c r="J6" s="2">
        <v>22</v>
      </c>
      <c r="L6" s="37">
        <f>G6-G$5</f>
        <v>0.4126673155706726</v>
      </c>
      <c r="M6" s="37">
        <f>H6-H$5</f>
        <v>0.1000000000000032</v>
      </c>
    </row>
    <row r="7" spans="1:13">
      <c r="A7" s="7" t="s">
        <v>20</v>
      </c>
      <c r="B7" s="1" t="s">
        <v>3</v>
      </c>
      <c r="C7" s="1" t="s">
        <v>0</v>
      </c>
      <c r="D7" s="1" t="s">
        <v>3</v>
      </c>
      <c r="E7" s="1" t="s">
        <v>3</v>
      </c>
      <c r="F7" s="34">
        <f>Full!T43</f>
        <v>75.659250984996362</v>
      </c>
      <c r="G7" s="34">
        <v>77.075213508895501</v>
      </c>
      <c r="H7" s="3">
        <v>5.9333333333333336</v>
      </c>
      <c r="I7" s="2">
        <v>30</v>
      </c>
      <c r="J7" s="2">
        <v>5</v>
      </c>
      <c r="L7" s="37">
        <f t="shared" ref="L7:M14" si="0">G7-G$5</f>
        <v>-2.7270514530475509</v>
      </c>
      <c r="M7" s="37">
        <f t="shared" si="0"/>
        <v>3.5000000000000036</v>
      </c>
    </row>
    <row r="8" spans="1:13">
      <c r="A8" s="7" t="s">
        <v>26</v>
      </c>
      <c r="B8" s="1" t="s">
        <v>3</v>
      </c>
      <c r="C8" s="1" t="s">
        <v>3</v>
      </c>
      <c r="D8" s="1" t="s">
        <v>0</v>
      </c>
      <c r="E8" s="1" t="s">
        <v>3</v>
      </c>
      <c r="F8" s="36">
        <f>Full!U43</f>
        <v>77.714771444532929</v>
      </c>
      <c r="G8" s="34">
        <v>79.162988467806102</v>
      </c>
      <c r="H8" s="3">
        <v>3.5</v>
      </c>
      <c r="I8" s="2">
        <v>22</v>
      </c>
      <c r="J8" s="2">
        <v>14</v>
      </c>
      <c r="L8" s="37">
        <f t="shared" si="0"/>
        <v>-0.63927649413695065</v>
      </c>
      <c r="M8" s="37">
        <f t="shared" si="0"/>
        <v>1.06666666666667</v>
      </c>
    </row>
    <row r="9" spans="1:13">
      <c r="A9" s="7" t="s">
        <v>27</v>
      </c>
      <c r="B9" s="1" t="s">
        <v>3</v>
      </c>
      <c r="C9" s="1" t="s">
        <v>3</v>
      </c>
      <c r="D9" s="1" t="s">
        <v>3</v>
      </c>
      <c r="E9" s="1" t="s">
        <v>17</v>
      </c>
      <c r="F9" s="34">
        <f>Full!V43</f>
        <v>76.437546845610001</v>
      </c>
      <c r="G9" s="34">
        <v>77.722172298753748</v>
      </c>
      <c r="H9" s="3">
        <v>4.8666666666666663</v>
      </c>
      <c r="I9" s="2">
        <v>24</v>
      </c>
      <c r="J9" s="2">
        <v>10</v>
      </c>
      <c r="L9" s="37">
        <f t="shared" si="0"/>
        <v>-2.0800926631893049</v>
      </c>
      <c r="M9" s="37">
        <f t="shared" si="0"/>
        <v>2.4333333333333362</v>
      </c>
    </row>
    <row r="10" spans="1:13">
      <c r="A10" s="4"/>
      <c r="B10" s="1" t="s">
        <v>3</v>
      </c>
      <c r="C10" s="1" t="s">
        <v>3</v>
      </c>
      <c r="D10" s="1" t="s">
        <v>3</v>
      </c>
      <c r="E10" s="1" t="s">
        <v>5</v>
      </c>
      <c r="F10" s="34">
        <f>Full!W43</f>
        <v>76.899752380995693</v>
      </c>
      <c r="G10" s="34">
        <v>78.609670491508908</v>
      </c>
      <c r="H10" s="3">
        <v>3.6</v>
      </c>
      <c r="I10" s="2">
        <v>22</v>
      </c>
      <c r="J10" s="2">
        <v>15</v>
      </c>
      <c r="L10" s="37">
        <f t="shared" si="0"/>
        <v>-1.1925944704341447</v>
      </c>
      <c r="M10" s="37">
        <f t="shared" si="0"/>
        <v>1.1666666666666701</v>
      </c>
    </row>
    <row r="11" spans="1:13">
      <c r="B11" s="1" t="s">
        <v>3</v>
      </c>
      <c r="C11" s="1" t="s">
        <v>3</v>
      </c>
      <c r="D11" s="1" t="s">
        <v>3</v>
      </c>
      <c r="E11" s="1" t="s">
        <v>4</v>
      </c>
      <c r="F11" s="34">
        <f>Full!X43</f>
        <v>76.448495102012103</v>
      </c>
      <c r="G11" s="34">
        <v>78.535222896881194</v>
      </c>
      <c r="H11" s="3">
        <v>3.9</v>
      </c>
      <c r="I11" s="2">
        <v>22</v>
      </c>
      <c r="J11" s="2">
        <v>12</v>
      </c>
      <c r="L11" s="37">
        <f t="shared" si="0"/>
        <v>-1.2670420650618581</v>
      </c>
      <c r="M11" s="37">
        <f t="shared" si="0"/>
        <v>1.4666666666666699</v>
      </c>
    </row>
    <row r="12" spans="1:13">
      <c r="B12" s="1" t="s">
        <v>3</v>
      </c>
      <c r="C12" s="1" t="s">
        <v>3</v>
      </c>
      <c r="D12" s="1" t="s">
        <v>3</v>
      </c>
      <c r="E12" s="1" t="s">
        <v>2</v>
      </c>
      <c r="F12" s="34">
        <f>Full!Y43</f>
        <v>75.855659988176029</v>
      </c>
      <c r="G12" s="34">
        <v>76.848213740152417</v>
      </c>
      <c r="H12" s="3">
        <v>4.8666666666666698</v>
      </c>
      <c r="I12" s="2">
        <v>25</v>
      </c>
      <c r="J12" s="2">
        <v>9</v>
      </c>
      <c r="L12" s="37">
        <f t="shared" si="0"/>
        <v>-2.9540512217906354</v>
      </c>
      <c r="M12" s="37">
        <f t="shared" si="0"/>
        <v>2.4333333333333398</v>
      </c>
    </row>
    <row r="13" spans="1:13">
      <c r="A13" s="7" t="s">
        <v>149</v>
      </c>
      <c r="B13" s="1" t="s">
        <v>0</v>
      </c>
      <c r="C13" s="1" t="s">
        <v>3</v>
      </c>
      <c r="D13" s="1" t="s">
        <v>0</v>
      </c>
      <c r="E13" s="1" t="s">
        <v>5</v>
      </c>
      <c r="F13" s="34">
        <f>Full!L43</f>
        <v>77.092282728743697</v>
      </c>
      <c r="G13" s="34">
        <f>Full!$L$44</f>
        <v>77.935049921985623</v>
      </c>
      <c r="H13" s="23" t="s">
        <v>97</v>
      </c>
      <c r="I13" s="2">
        <v>20</v>
      </c>
      <c r="J13" s="2">
        <v>13</v>
      </c>
      <c r="L13" s="37">
        <f t="shared" si="0"/>
        <v>-1.8672150399574292</v>
      </c>
      <c r="M13" s="37"/>
    </row>
    <row r="14" spans="1:13">
      <c r="A14" s="4" t="s">
        <v>1</v>
      </c>
      <c r="B14" s="1" t="s">
        <v>0</v>
      </c>
      <c r="C14" s="1" t="s">
        <v>0</v>
      </c>
      <c r="D14" s="1" t="s">
        <v>0</v>
      </c>
      <c r="E14" s="1" t="s">
        <v>17</v>
      </c>
      <c r="F14" s="34">
        <f>Full!AA43</f>
        <v>73.285704982668818</v>
      </c>
      <c r="G14" s="34">
        <v>74.242717371661328</v>
      </c>
      <c r="H14" s="23" t="s">
        <v>97</v>
      </c>
      <c r="I14" s="2">
        <v>26</v>
      </c>
      <c r="J14" s="2">
        <v>5</v>
      </c>
      <c r="L14" s="37">
        <f t="shared" si="0"/>
        <v>-5.5595475902817242</v>
      </c>
      <c r="M14" s="37"/>
    </row>
    <row r="18" spans="1:10" ht="19">
      <c r="B18" s="1" t="s">
        <v>28</v>
      </c>
      <c r="C18" s="38" t="s">
        <v>29</v>
      </c>
      <c r="D18" s="38"/>
      <c r="E18" s="10" t="s">
        <v>30</v>
      </c>
      <c r="F18" s="10"/>
    </row>
    <row r="19" spans="1:10" ht="19">
      <c r="B19" s="11" t="s">
        <v>31</v>
      </c>
      <c r="C19" s="11" t="s">
        <v>32</v>
      </c>
      <c r="D19" s="11" t="s">
        <v>11</v>
      </c>
      <c r="E19" s="11" t="s">
        <v>33</v>
      </c>
      <c r="F19" s="10"/>
    </row>
    <row r="20" spans="1:10" ht="38">
      <c r="B20" s="10" t="s">
        <v>34</v>
      </c>
      <c r="C20" s="10" t="s">
        <v>8</v>
      </c>
      <c r="D20" s="10" t="s">
        <v>7</v>
      </c>
      <c r="E20" s="10" t="s">
        <v>35</v>
      </c>
      <c r="F20" s="10" t="s">
        <v>36</v>
      </c>
      <c r="G20" s="10" t="s">
        <v>37</v>
      </c>
      <c r="H20" s="10" t="s">
        <v>38</v>
      </c>
      <c r="I20" s="10" t="s">
        <v>39</v>
      </c>
      <c r="J20" s="10"/>
    </row>
    <row r="21" spans="1:10">
      <c r="A21" s="9" t="s">
        <v>40</v>
      </c>
      <c r="B21" s="12" t="s">
        <v>3</v>
      </c>
      <c r="C21" s="13" t="s">
        <v>3</v>
      </c>
      <c r="D21" s="13" t="s">
        <v>3</v>
      </c>
      <c r="E21" s="13" t="s">
        <v>3</v>
      </c>
      <c r="F21" s="32">
        <v>79.802264961943052</v>
      </c>
      <c r="G21" s="6">
        <v>2.43333333333333</v>
      </c>
      <c r="H21" s="3" t="s">
        <v>41</v>
      </c>
      <c r="I21" s="3" t="s">
        <v>41</v>
      </c>
      <c r="J21" s="3"/>
    </row>
    <row r="22" spans="1:10">
      <c r="A22" s="7" t="s">
        <v>42</v>
      </c>
      <c r="B22" s="14" t="s">
        <v>0</v>
      </c>
      <c r="C22" s="13" t="s">
        <v>3</v>
      </c>
      <c r="D22" s="13" t="s">
        <v>3</v>
      </c>
      <c r="E22" s="13" t="s">
        <v>3</v>
      </c>
      <c r="F22" s="33">
        <v>80.214932277513725</v>
      </c>
      <c r="G22" s="5">
        <v>2.5333333333333332</v>
      </c>
      <c r="H22" s="2">
        <v>25</v>
      </c>
      <c r="I22" s="2">
        <v>22</v>
      </c>
      <c r="J22" s="2"/>
    </row>
    <row r="23" spans="1:10">
      <c r="A23" s="7" t="s">
        <v>43</v>
      </c>
      <c r="B23" s="13" t="s">
        <v>3</v>
      </c>
      <c r="C23" s="14" t="s">
        <v>0</v>
      </c>
      <c r="D23" s="13" t="s">
        <v>3</v>
      </c>
      <c r="E23" s="13" t="s">
        <v>3</v>
      </c>
      <c r="F23" s="35">
        <v>77.075213508895501</v>
      </c>
      <c r="G23" s="3">
        <v>5.9333333333333336</v>
      </c>
      <c r="H23" s="2">
        <v>30</v>
      </c>
      <c r="I23" s="2">
        <v>5</v>
      </c>
      <c r="J23" s="2"/>
    </row>
    <row r="24" spans="1:10">
      <c r="A24" s="7" t="s">
        <v>44</v>
      </c>
      <c r="B24" s="13" t="s">
        <v>3</v>
      </c>
      <c r="C24" s="13" t="s">
        <v>3</v>
      </c>
      <c r="D24" s="14" t="s">
        <v>0</v>
      </c>
      <c r="E24" s="13" t="s">
        <v>3</v>
      </c>
      <c r="F24" s="35">
        <v>79.162988467806102</v>
      </c>
      <c r="G24" s="3">
        <v>3.5</v>
      </c>
      <c r="H24" s="2">
        <v>22</v>
      </c>
      <c r="I24" s="2">
        <v>14</v>
      </c>
      <c r="J24" s="2"/>
    </row>
    <row r="25" spans="1:10">
      <c r="A25" s="7" t="s">
        <v>45</v>
      </c>
      <c r="B25" s="13" t="s">
        <v>3</v>
      </c>
      <c r="C25" s="13" t="s">
        <v>3</v>
      </c>
      <c r="D25" s="13" t="s">
        <v>3</v>
      </c>
      <c r="E25" s="14" t="s">
        <v>46</v>
      </c>
      <c r="F25" s="35">
        <v>77.722172298753748</v>
      </c>
      <c r="G25" s="3">
        <v>4.8666666666666663</v>
      </c>
      <c r="H25" s="2">
        <v>24</v>
      </c>
      <c r="I25" s="2">
        <v>10</v>
      </c>
      <c r="J25" s="2"/>
    </row>
    <row r="26" spans="1:10">
      <c r="A26" s="4"/>
      <c r="B26" s="13" t="s">
        <v>3</v>
      </c>
      <c r="C26" s="13" t="s">
        <v>3</v>
      </c>
      <c r="D26" s="13" t="s">
        <v>3</v>
      </c>
      <c r="E26" s="14" t="s">
        <v>5</v>
      </c>
      <c r="F26" s="35">
        <v>78.609670491508908</v>
      </c>
      <c r="G26" s="3">
        <v>3.6</v>
      </c>
      <c r="H26" s="2">
        <v>22</v>
      </c>
      <c r="I26" s="2">
        <v>15</v>
      </c>
      <c r="J26" s="2"/>
    </row>
    <row r="27" spans="1:10">
      <c r="B27" s="13" t="s">
        <v>3</v>
      </c>
      <c r="C27" s="13" t="s">
        <v>3</v>
      </c>
      <c r="D27" s="13" t="s">
        <v>3</v>
      </c>
      <c r="E27" s="14" t="s">
        <v>47</v>
      </c>
      <c r="F27" s="35">
        <v>78.535222896881194</v>
      </c>
      <c r="G27" s="3">
        <v>3.9</v>
      </c>
      <c r="H27" s="2">
        <v>22</v>
      </c>
      <c r="I27" s="2">
        <v>12</v>
      </c>
      <c r="J27" s="2"/>
    </row>
    <row r="28" spans="1:10">
      <c r="B28" s="13" t="s">
        <v>3</v>
      </c>
      <c r="C28" s="13" t="s">
        <v>3</v>
      </c>
      <c r="D28" s="13" t="s">
        <v>3</v>
      </c>
      <c r="E28" s="14" t="s">
        <v>2</v>
      </c>
      <c r="F28" s="35">
        <v>76.848213740152417</v>
      </c>
      <c r="G28" s="3">
        <v>4.8666666666666698</v>
      </c>
      <c r="H28" s="2">
        <v>25</v>
      </c>
      <c r="I28" s="2">
        <v>9</v>
      </c>
      <c r="J28" s="2"/>
    </row>
    <row r="29" spans="1:10">
      <c r="A29" s="7" t="s">
        <v>149</v>
      </c>
      <c r="B29" s="14" t="s">
        <v>0</v>
      </c>
      <c r="C29" s="13" t="s">
        <v>3</v>
      </c>
      <c r="D29" s="14" t="s">
        <v>0</v>
      </c>
      <c r="E29" s="14" t="s">
        <v>5</v>
      </c>
      <c r="F29" s="35">
        <v>77.092282728743697</v>
      </c>
      <c r="G29" s="23" t="s">
        <v>97</v>
      </c>
      <c r="H29" s="2">
        <v>20</v>
      </c>
      <c r="I29" s="2">
        <v>13</v>
      </c>
      <c r="J29" s="2"/>
    </row>
    <row r="30" spans="1:10">
      <c r="A30" s="4" t="s">
        <v>48</v>
      </c>
      <c r="B30" s="14" t="s">
        <v>0</v>
      </c>
      <c r="C30" s="14" t="s">
        <v>0</v>
      </c>
      <c r="D30" s="14" t="s">
        <v>0</v>
      </c>
      <c r="E30" s="14" t="s">
        <v>46</v>
      </c>
      <c r="F30" s="35">
        <v>74.242717371661328</v>
      </c>
      <c r="G30" s="23" t="s">
        <v>97</v>
      </c>
      <c r="H30" s="2">
        <v>26</v>
      </c>
      <c r="I30" s="2">
        <v>5</v>
      </c>
      <c r="J30" s="2"/>
    </row>
  </sheetData>
  <mergeCells count="2">
    <mergeCell ref="C2:D2"/>
    <mergeCell ref="C18:D18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F7CBD-6963-5041-8A74-6D577B03DFFA}">
  <dimension ref="A2:AC82"/>
  <sheetViews>
    <sheetView zoomScale="75" zoomScaleNormal="60" workbookViewId="0">
      <selection activeCell="K51" sqref="K51"/>
    </sheetView>
  </sheetViews>
  <sheetFormatPr baseColWidth="10" defaultRowHeight="18"/>
  <cols>
    <col min="1" max="1" width="17.7109375" style="1" customWidth="1"/>
    <col min="2" max="2" width="16.7109375" style="4" bestFit="1" customWidth="1"/>
    <col min="3" max="13" width="9.140625" customWidth="1"/>
    <col min="18" max="18" width="23.7109375" bestFit="1" customWidth="1"/>
  </cols>
  <sheetData>
    <row r="2" spans="1:29">
      <c r="C2" s="38" t="s">
        <v>60</v>
      </c>
      <c r="D2" s="38"/>
      <c r="E2" s="38"/>
      <c r="F2" s="38"/>
      <c r="G2" s="38"/>
      <c r="H2" s="38"/>
      <c r="I2" s="38"/>
      <c r="J2" s="38"/>
      <c r="K2" s="38" t="s">
        <v>59</v>
      </c>
      <c r="L2" s="38"/>
      <c r="M2" s="38"/>
      <c r="R2" s="4"/>
      <c r="S2" s="38" t="s">
        <v>61</v>
      </c>
      <c r="T2" s="38"/>
      <c r="U2" s="38"/>
      <c r="V2" s="38"/>
      <c r="W2" s="38"/>
      <c r="X2" s="38"/>
      <c r="Y2" s="38"/>
      <c r="Z2" s="38"/>
      <c r="AA2" s="38" t="s">
        <v>59</v>
      </c>
      <c r="AB2" s="38"/>
      <c r="AC2" s="38"/>
    </row>
    <row r="3" spans="1:29">
      <c r="A3" s="1" t="s">
        <v>99</v>
      </c>
      <c r="B3" s="1"/>
      <c r="C3" s="1" t="s">
        <v>49</v>
      </c>
      <c r="D3" s="1" t="s">
        <v>51</v>
      </c>
      <c r="E3" s="1" t="s">
        <v>52</v>
      </c>
      <c r="F3" s="38" t="s">
        <v>53</v>
      </c>
      <c r="G3" s="38"/>
      <c r="H3" s="38"/>
      <c r="I3" s="38"/>
      <c r="J3" s="15" t="s">
        <v>50</v>
      </c>
      <c r="K3" s="1" t="s">
        <v>1</v>
      </c>
      <c r="L3" s="1" t="s">
        <v>148</v>
      </c>
      <c r="M3" s="1" t="s">
        <v>51</v>
      </c>
      <c r="R3" s="1"/>
      <c r="S3" s="1" t="s">
        <v>49</v>
      </c>
      <c r="T3" s="1" t="s">
        <v>51</v>
      </c>
      <c r="U3" s="1" t="s">
        <v>52</v>
      </c>
      <c r="V3" s="38" t="s">
        <v>53</v>
      </c>
      <c r="W3" s="38"/>
      <c r="X3" s="38"/>
      <c r="Y3" s="38"/>
      <c r="Z3" s="15" t="s">
        <v>50</v>
      </c>
      <c r="AA3" s="1" t="s">
        <v>1</v>
      </c>
      <c r="AB3" s="1" t="s">
        <v>148</v>
      </c>
      <c r="AC3" s="1" t="s">
        <v>51</v>
      </c>
    </row>
    <row r="4" spans="1:29" ht="57">
      <c r="A4" s="11" t="s">
        <v>13</v>
      </c>
      <c r="B4" s="17" t="s">
        <v>34</v>
      </c>
      <c r="C4" s="14" t="s">
        <v>0</v>
      </c>
      <c r="D4" s="12" t="s">
        <v>3</v>
      </c>
      <c r="E4" s="12" t="s">
        <v>3</v>
      </c>
      <c r="F4" s="12" t="s">
        <v>3</v>
      </c>
      <c r="G4" s="12" t="s">
        <v>3</v>
      </c>
      <c r="H4" s="12" t="s">
        <v>3</v>
      </c>
      <c r="I4" s="12" t="s">
        <v>3</v>
      </c>
      <c r="J4" s="12" t="s">
        <v>3</v>
      </c>
      <c r="K4" s="14" t="s">
        <v>0</v>
      </c>
      <c r="L4" s="14" t="s">
        <v>0</v>
      </c>
      <c r="M4" s="12" t="s">
        <v>3</v>
      </c>
      <c r="R4" s="17" t="s">
        <v>139</v>
      </c>
      <c r="S4" s="14" t="s">
        <v>105</v>
      </c>
      <c r="T4" s="12" t="s">
        <v>104</v>
      </c>
      <c r="U4" s="12" t="s">
        <v>104</v>
      </c>
      <c r="V4" s="12" t="s">
        <v>104</v>
      </c>
      <c r="W4" s="12" t="s">
        <v>104</v>
      </c>
      <c r="X4" s="12" t="s">
        <v>104</v>
      </c>
      <c r="Y4" s="12" t="s">
        <v>104</v>
      </c>
      <c r="Z4" s="12" t="s">
        <v>104</v>
      </c>
      <c r="AA4" s="14" t="s">
        <v>105</v>
      </c>
      <c r="AB4" s="14" t="s">
        <v>105</v>
      </c>
      <c r="AC4" s="12" t="s">
        <v>104</v>
      </c>
    </row>
    <row r="5" spans="1:29" ht="57">
      <c r="A5" s="11" t="s">
        <v>12</v>
      </c>
      <c r="B5" s="17" t="s">
        <v>8</v>
      </c>
      <c r="C5" s="12" t="s">
        <v>3</v>
      </c>
      <c r="D5" s="14" t="s">
        <v>0</v>
      </c>
      <c r="E5" s="12" t="s">
        <v>3</v>
      </c>
      <c r="F5" s="12" t="s">
        <v>3</v>
      </c>
      <c r="G5" s="12" t="s">
        <v>3</v>
      </c>
      <c r="H5" s="12" t="s">
        <v>3</v>
      </c>
      <c r="I5" s="12" t="s">
        <v>3</v>
      </c>
      <c r="J5" s="12" t="s">
        <v>3</v>
      </c>
      <c r="K5" s="14" t="s">
        <v>0</v>
      </c>
      <c r="L5" s="12" t="s">
        <v>3</v>
      </c>
      <c r="M5" s="14" t="s">
        <v>0</v>
      </c>
      <c r="R5" s="17" t="s">
        <v>141</v>
      </c>
      <c r="S5" s="12" t="s">
        <v>104</v>
      </c>
      <c r="T5" s="14" t="s">
        <v>105</v>
      </c>
      <c r="U5" s="12" t="s">
        <v>104</v>
      </c>
      <c r="V5" s="12" t="s">
        <v>104</v>
      </c>
      <c r="W5" s="12" t="s">
        <v>104</v>
      </c>
      <c r="X5" s="12" t="s">
        <v>104</v>
      </c>
      <c r="Y5" s="12" t="s">
        <v>104</v>
      </c>
      <c r="Z5" s="12" t="s">
        <v>104</v>
      </c>
      <c r="AA5" s="14" t="s">
        <v>105</v>
      </c>
      <c r="AB5" s="12" t="s">
        <v>104</v>
      </c>
      <c r="AC5" s="14" t="s">
        <v>105</v>
      </c>
    </row>
    <row r="6" spans="1:29" ht="57">
      <c r="A6" s="15" t="s">
        <v>11</v>
      </c>
      <c r="B6" s="17" t="s">
        <v>7</v>
      </c>
      <c r="C6" s="12" t="s">
        <v>3</v>
      </c>
      <c r="D6" s="12" t="s">
        <v>3</v>
      </c>
      <c r="E6" s="14" t="s">
        <v>0</v>
      </c>
      <c r="F6" s="12" t="s">
        <v>3</v>
      </c>
      <c r="G6" s="12" t="s">
        <v>3</v>
      </c>
      <c r="H6" s="12" t="s">
        <v>3</v>
      </c>
      <c r="I6" s="12" t="s">
        <v>3</v>
      </c>
      <c r="J6" s="12" t="s">
        <v>3</v>
      </c>
      <c r="K6" s="14" t="s">
        <v>0</v>
      </c>
      <c r="L6" s="14" t="s">
        <v>0</v>
      </c>
      <c r="M6" s="12" t="s">
        <v>3</v>
      </c>
      <c r="R6" s="17" t="s">
        <v>142</v>
      </c>
      <c r="S6" s="12" t="s">
        <v>104</v>
      </c>
      <c r="T6" s="12" t="s">
        <v>104</v>
      </c>
      <c r="U6" s="14" t="s">
        <v>105</v>
      </c>
      <c r="V6" s="12" t="s">
        <v>104</v>
      </c>
      <c r="W6" s="12" t="s">
        <v>104</v>
      </c>
      <c r="X6" s="12" t="s">
        <v>104</v>
      </c>
      <c r="Y6" s="12" t="s">
        <v>104</v>
      </c>
      <c r="Z6" s="12" t="s">
        <v>104</v>
      </c>
      <c r="AA6" s="22" t="s">
        <v>105</v>
      </c>
      <c r="AB6" s="14" t="s">
        <v>105</v>
      </c>
      <c r="AC6" s="12" t="s">
        <v>104</v>
      </c>
    </row>
    <row r="7" spans="1:29" ht="57">
      <c r="A7" s="15" t="s">
        <v>10</v>
      </c>
      <c r="B7" s="17" t="s">
        <v>18</v>
      </c>
      <c r="C7" s="12" t="s">
        <v>3</v>
      </c>
      <c r="D7" s="12" t="s">
        <v>3</v>
      </c>
      <c r="E7" s="12" t="s">
        <v>3</v>
      </c>
      <c r="F7" s="20" t="s">
        <v>100</v>
      </c>
      <c r="G7" s="20" t="s">
        <v>101</v>
      </c>
      <c r="H7" s="20" t="s">
        <v>102</v>
      </c>
      <c r="I7" s="21" t="s">
        <v>103</v>
      </c>
      <c r="J7" s="12" t="s">
        <v>3</v>
      </c>
      <c r="K7" s="20" t="s">
        <v>100</v>
      </c>
      <c r="L7" s="20" t="s">
        <v>101</v>
      </c>
      <c r="M7" s="12" t="s">
        <v>3</v>
      </c>
      <c r="R7" s="17" t="s">
        <v>140</v>
      </c>
      <c r="S7" s="12" t="s">
        <v>104</v>
      </c>
      <c r="T7" s="12" t="s">
        <v>104</v>
      </c>
      <c r="U7" s="12" t="s">
        <v>104</v>
      </c>
      <c r="V7" s="20" t="s">
        <v>106</v>
      </c>
      <c r="W7" s="20" t="s">
        <v>107</v>
      </c>
      <c r="X7" s="20" t="s">
        <v>108</v>
      </c>
      <c r="Y7" s="21" t="s">
        <v>109</v>
      </c>
      <c r="Z7" s="12" t="s">
        <v>104</v>
      </c>
      <c r="AA7" s="20" t="s">
        <v>106</v>
      </c>
      <c r="AB7" s="20" t="s">
        <v>107</v>
      </c>
      <c r="AC7" s="12" t="s">
        <v>104</v>
      </c>
    </row>
    <row r="8" spans="1:29">
      <c r="B8" s="1" t="s">
        <v>54</v>
      </c>
      <c r="C8" s="1" t="s">
        <v>143</v>
      </c>
      <c r="D8" s="1" t="s">
        <v>143</v>
      </c>
      <c r="E8" s="1" t="s">
        <v>143</v>
      </c>
      <c r="F8" s="1" t="s">
        <v>143</v>
      </c>
      <c r="G8" s="1" t="s">
        <v>143</v>
      </c>
      <c r="H8" s="1" t="s">
        <v>143</v>
      </c>
      <c r="I8" s="1" t="s">
        <v>143</v>
      </c>
      <c r="J8" s="1" t="s">
        <v>143</v>
      </c>
      <c r="K8" s="1" t="s">
        <v>143</v>
      </c>
      <c r="L8" s="1" t="s">
        <v>143</v>
      </c>
      <c r="M8" s="1" t="s">
        <v>143</v>
      </c>
      <c r="R8" s="4" t="s">
        <v>54</v>
      </c>
      <c r="S8" s="1" t="s">
        <v>143</v>
      </c>
      <c r="T8" s="1" t="s">
        <v>143</v>
      </c>
      <c r="U8" s="1" t="s">
        <v>143</v>
      </c>
      <c r="V8" s="1" t="s">
        <v>143</v>
      </c>
      <c r="W8" s="1" t="s">
        <v>143</v>
      </c>
      <c r="X8" s="1" t="s">
        <v>143</v>
      </c>
      <c r="Y8" s="1" t="s">
        <v>143</v>
      </c>
      <c r="Z8" s="1" t="s">
        <v>143</v>
      </c>
      <c r="AA8" s="1" t="s">
        <v>143</v>
      </c>
      <c r="AB8" s="1" t="s">
        <v>143</v>
      </c>
      <c r="AC8" s="1" t="s">
        <v>143</v>
      </c>
    </row>
    <row r="9" spans="1:29">
      <c r="B9" s="1" t="s">
        <v>57</v>
      </c>
      <c r="C9" s="1" t="s">
        <v>144</v>
      </c>
      <c r="D9" s="1" t="s">
        <v>144</v>
      </c>
      <c r="E9" s="1" t="s">
        <v>144</v>
      </c>
      <c r="F9" s="1" t="s">
        <v>144</v>
      </c>
      <c r="G9" s="1" t="s">
        <v>144</v>
      </c>
      <c r="H9" s="1" t="s">
        <v>144</v>
      </c>
      <c r="I9" s="1" t="s">
        <v>144</v>
      </c>
      <c r="J9" s="1" t="s">
        <v>144</v>
      </c>
      <c r="K9" s="1" t="s">
        <v>144</v>
      </c>
      <c r="L9" s="1" t="s">
        <v>144</v>
      </c>
      <c r="M9" s="1" t="s">
        <v>144</v>
      </c>
      <c r="R9" s="4" t="s">
        <v>57</v>
      </c>
      <c r="S9" s="1" t="s">
        <v>144</v>
      </c>
      <c r="T9" s="1" t="s">
        <v>144</v>
      </c>
      <c r="U9" s="1" t="s">
        <v>144</v>
      </c>
      <c r="V9" s="1" t="s">
        <v>144</v>
      </c>
      <c r="W9" s="1" t="s">
        <v>144</v>
      </c>
      <c r="X9" s="1" t="s">
        <v>144</v>
      </c>
      <c r="Y9" s="1" t="s">
        <v>144</v>
      </c>
      <c r="Z9" s="1" t="s">
        <v>144</v>
      </c>
      <c r="AA9" s="1" t="s">
        <v>144</v>
      </c>
      <c r="AB9" s="1" t="s">
        <v>144</v>
      </c>
      <c r="AC9" s="1" t="s">
        <v>144</v>
      </c>
    </row>
    <row r="10" spans="1:29">
      <c r="B10" s="1" t="s">
        <v>56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 t="s">
        <v>58</v>
      </c>
      <c r="R10" s="4" t="s">
        <v>56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 t="s">
        <v>58</v>
      </c>
    </row>
    <row r="11" spans="1:29">
      <c r="B11" s="1" t="s">
        <v>55</v>
      </c>
      <c r="C11" s="1">
        <v>4</v>
      </c>
      <c r="D11" s="1">
        <v>4</v>
      </c>
      <c r="E11" s="1">
        <v>4</v>
      </c>
      <c r="F11" s="1">
        <v>4</v>
      </c>
      <c r="G11" s="1">
        <v>4</v>
      </c>
      <c r="H11" s="1">
        <v>4</v>
      </c>
      <c r="I11" s="1">
        <v>4</v>
      </c>
      <c r="J11" s="1">
        <v>4</v>
      </c>
      <c r="K11" s="1">
        <v>4</v>
      </c>
      <c r="L11" s="1">
        <v>4</v>
      </c>
      <c r="M11" s="1" t="s">
        <v>58</v>
      </c>
      <c r="R11" s="4" t="s">
        <v>55</v>
      </c>
      <c r="S11" s="1">
        <v>4</v>
      </c>
      <c r="T11" s="1">
        <v>4</v>
      </c>
      <c r="U11" s="1">
        <v>4</v>
      </c>
      <c r="V11" s="1">
        <v>4</v>
      </c>
      <c r="W11" s="1">
        <v>4</v>
      </c>
      <c r="X11" s="1">
        <v>4</v>
      </c>
      <c r="Y11" s="1">
        <v>4</v>
      </c>
      <c r="Z11" s="1">
        <v>4</v>
      </c>
      <c r="AA11" s="1">
        <v>4</v>
      </c>
      <c r="AB11" s="1">
        <v>4</v>
      </c>
      <c r="AC11" s="1" t="s">
        <v>58</v>
      </c>
    </row>
    <row r="12" spans="1:29">
      <c r="B12" s="1" t="s">
        <v>98</v>
      </c>
      <c r="C12" s="16">
        <v>240</v>
      </c>
      <c r="D12" s="16">
        <v>30</v>
      </c>
      <c r="E12" s="16">
        <v>240</v>
      </c>
      <c r="F12" s="16">
        <v>240</v>
      </c>
      <c r="G12" s="16">
        <v>240</v>
      </c>
      <c r="H12" s="16">
        <v>240</v>
      </c>
      <c r="I12" s="16">
        <v>240</v>
      </c>
      <c r="J12" s="16">
        <v>240</v>
      </c>
      <c r="K12" s="16">
        <v>30</v>
      </c>
      <c r="L12" s="16">
        <v>240</v>
      </c>
      <c r="M12" s="16">
        <v>270</v>
      </c>
      <c r="R12" s="4" t="s">
        <v>147</v>
      </c>
      <c r="S12" s="16">
        <v>240</v>
      </c>
      <c r="T12" s="16">
        <v>30</v>
      </c>
      <c r="U12" s="16">
        <v>240</v>
      </c>
      <c r="V12" s="16">
        <v>240</v>
      </c>
      <c r="W12" s="16">
        <v>240</v>
      </c>
      <c r="X12" s="16">
        <v>240</v>
      </c>
      <c r="Y12" s="16">
        <v>240</v>
      </c>
      <c r="Z12" s="16">
        <v>240</v>
      </c>
      <c r="AA12" s="16">
        <v>30</v>
      </c>
      <c r="AB12" s="16">
        <v>240</v>
      </c>
      <c r="AC12" s="16">
        <v>270</v>
      </c>
    </row>
    <row r="13" spans="1:29">
      <c r="B13" s="4" t="s">
        <v>86</v>
      </c>
      <c r="C13" s="24">
        <v>33.079847908745244</v>
      </c>
      <c r="D13" s="24">
        <v>32.319391634981002</v>
      </c>
      <c r="E13" s="24">
        <v>39.543726235741445</v>
      </c>
      <c r="F13" s="24">
        <v>34.600760456273768</v>
      </c>
      <c r="G13" s="24">
        <v>32.699619771863119</v>
      </c>
      <c r="H13" s="25">
        <v>41.825095057034225</v>
      </c>
      <c r="I13" s="24">
        <v>33.079847908745244</v>
      </c>
      <c r="J13" s="26">
        <v>42.585551330798502</v>
      </c>
      <c r="K13" s="24">
        <v>30.418250950570343</v>
      </c>
      <c r="L13" s="24">
        <v>34.22053231939163</v>
      </c>
      <c r="M13" s="24">
        <v>33.460076045627403</v>
      </c>
      <c r="R13" s="4" t="s">
        <v>110</v>
      </c>
      <c r="S13" s="24">
        <v>33.079847908745244</v>
      </c>
      <c r="T13" s="24">
        <v>32.319391634981002</v>
      </c>
      <c r="U13" s="24">
        <v>39.543726235741445</v>
      </c>
      <c r="V13" s="24">
        <v>34.600760456273768</v>
      </c>
      <c r="W13" s="24">
        <v>32.699619771863119</v>
      </c>
      <c r="X13" s="25">
        <v>41.825095057034225</v>
      </c>
      <c r="Y13" s="24">
        <v>33.079847908745244</v>
      </c>
      <c r="Z13" s="26">
        <v>42.585551330798502</v>
      </c>
      <c r="AA13" s="24">
        <v>30.418250950570343</v>
      </c>
      <c r="AB13" s="24">
        <v>34.22053231939163</v>
      </c>
      <c r="AC13" s="24">
        <v>33.460076045627403</v>
      </c>
    </row>
    <row r="14" spans="1:29">
      <c r="B14" s="4" t="s">
        <v>62</v>
      </c>
      <c r="C14" s="24">
        <v>69.296254256526694</v>
      </c>
      <c r="D14" s="24">
        <v>68.586833144154397</v>
      </c>
      <c r="E14" s="24">
        <v>69.211123723042007</v>
      </c>
      <c r="F14" s="25">
        <v>70.005675368898977</v>
      </c>
      <c r="G14" s="26">
        <v>70.034052213393878</v>
      </c>
      <c r="H14" s="24">
        <v>69.012485811577747</v>
      </c>
      <c r="I14" s="24">
        <v>66.827468785471055</v>
      </c>
      <c r="J14" s="24">
        <v>69.29625425652668</v>
      </c>
      <c r="K14" s="24">
        <v>68.785471055618615</v>
      </c>
      <c r="L14" s="24">
        <v>69.154370034052221</v>
      </c>
      <c r="M14" s="24">
        <v>69.494892167990898</v>
      </c>
      <c r="R14" s="4" t="s">
        <v>111</v>
      </c>
      <c r="S14" s="24">
        <v>69.296254256526694</v>
      </c>
      <c r="T14" s="24">
        <v>68.586833144154397</v>
      </c>
      <c r="U14" s="24">
        <v>69.211123723042007</v>
      </c>
      <c r="V14" s="25">
        <v>70.005675368898977</v>
      </c>
      <c r="W14" s="26">
        <v>70.034052213393878</v>
      </c>
      <c r="X14" s="24">
        <v>69.012485811577747</v>
      </c>
      <c r="Y14" s="24">
        <v>66.827468785471055</v>
      </c>
      <c r="Z14" s="24">
        <v>69.29625425652668</v>
      </c>
      <c r="AA14" s="24">
        <v>68.785471055618615</v>
      </c>
      <c r="AB14" s="24">
        <v>69.154370034052221</v>
      </c>
      <c r="AC14" s="24">
        <v>69.494892167990898</v>
      </c>
    </row>
    <row r="15" spans="1:29">
      <c r="B15" s="4" t="s">
        <v>63</v>
      </c>
      <c r="C15" s="25">
        <v>60.235294117647051</v>
      </c>
      <c r="D15" s="24">
        <v>54</v>
      </c>
      <c r="E15" s="24">
        <v>57.999999999999993</v>
      </c>
      <c r="F15" s="24">
        <v>47.294117647058826</v>
      </c>
      <c r="G15" s="24">
        <v>59.882352941176478</v>
      </c>
      <c r="H15" s="24">
        <v>45.529411764705884</v>
      </c>
      <c r="I15" s="24">
        <v>56.705882352941174</v>
      </c>
      <c r="J15" s="26">
        <v>60.82352941176471</v>
      </c>
      <c r="K15" s="24">
        <v>30.941176470588232</v>
      </c>
      <c r="L15" s="24">
        <v>60.470588235294123</v>
      </c>
      <c r="M15" s="24">
        <v>56</v>
      </c>
      <c r="R15" s="4" t="s">
        <v>112</v>
      </c>
      <c r="S15" s="25">
        <v>60.235294117647051</v>
      </c>
      <c r="T15" s="24">
        <v>54</v>
      </c>
      <c r="U15" s="24">
        <v>57.999999999999993</v>
      </c>
      <c r="V15" s="24">
        <v>47.294117647058826</v>
      </c>
      <c r="W15" s="24">
        <v>59.882352941176478</v>
      </c>
      <c r="X15" s="24">
        <v>45.529411764705884</v>
      </c>
      <c r="Y15" s="24">
        <v>56.705882352941174</v>
      </c>
      <c r="Z15" s="26">
        <v>60.82352941176471</v>
      </c>
      <c r="AA15" s="24">
        <v>30.941176470588232</v>
      </c>
      <c r="AB15" s="24">
        <v>60.470588235294123</v>
      </c>
      <c r="AC15" s="24">
        <v>56</v>
      </c>
    </row>
    <row r="16" spans="1:29">
      <c r="B16" s="4" t="s">
        <v>64</v>
      </c>
      <c r="C16" s="26">
        <v>80.975609756097569</v>
      </c>
      <c r="D16" s="24">
        <v>79.024390243902403</v>
      </c>
      <c r="E16" s="24">
        <v>80</v>
      </c>
      <c r="F16" s="24">
        <v>80</v>
      </c>
      <c r="G16" s="25">
        <v>80.487804878048792</v>
      </c>
      <c r="H16" s="26">
        <v>80.975609756097569</v>
      </c>
      <c r="I16" s="24">
        <v>78.536585365853668</v>
      </c>
      <c r="J16" s="25">
        <v>80.487804878048792</v>
      </c>
      <c r="K16" s="24">
        <v>77.073170731707322</v>
      </c>
      <c r="L16" s="24">
        <v>80.975609756097569</v>
      </c>
      <c r="M16" s="24">
        <v>80.975609756097597</v>
      </c>
      <c r="R16" s="4" t="s">
        <v>113</v>
      </c>
      <c r="S16" s="26">
        <v>80.975609756097569</v>
      </c>
      <c r="T16" s="24">
        <v>79.024390243902403</v>
      </c>
      <c r="U16" s="24">
        <v>80</v>
      </c>
      <c r="V16" s="24">
        <v>80</v>
      </c>
      <c r="W16" s="25">
        <v>80.487804878048792</v>
      </c>
      <c r="X16" s="26">
        <v>80.975609756097569</v>
      </c>
      <c r="Y16" s="24">
        <v>78.536585365853668</v>
      </c>
      <c r="Z16" s="24">
        <v>80</v>
      </c>
      <c r="AA16" s="24">
        <v>77.073170731707322</v>
      </c>
      <c r="AB16" s="24">
        <v>80.975609756097569</v>
      </c>
      <c r="AC16" s="24">
        <v>80.975609756097597</v>
      </c>
    </row>
    <row r="17" spans="2:29">
      <c r="B17" s="4" t="s">
        <v>87</v>
      </c>
      <c r="C17" s="25">
        <v>98.648648648648646</v>
      </c>
      <c r="D17" s="24">
        <v>98.108108108108098</v>
      </c>
      <c r="E17" s="25">
        <v>98.648648648648646</v>
      </c>
      <c r="F17" s="25">
        <v>98.648648648648646</v>
      </c>
      <c r="G17" s="24">
        <v>98.108108108108098</v>
      </c>
      <c r="H17" s="26">
        <v>98.918918918918919</v>
      </c>
      <c r="I17" s="26">
        <v>98.918918918918919</v>
      </c>
      <c r="J17" s="25">
        <v>98.648648648648646</v>
      </c>
      <c r="K17" s="24">
        <v>97.297297297297305</v>
      </c>
      <c r="L17" s="24">
        <v>97.837837837837839</v>
      </c>
      <c r="M17" s="24">
        <v>98.918918918918905</v>
      </c>
      <c r="R17" s="4" t="s">
        <v>114</v>
      </c>
      <c r="S17" s="25">
        <v>98.648648648648646</v>
      </c>
      <c r="T17" s="24">
        <v>98.108108108108098</v>
      </c>
      <c r="U17" s="25">
        <v>98.648648648648646</v>
      </c>
      <c r="V17" s="25">
        <v>98.648648648648646</v>
      </c>
      <c r="W17" s="24">
        <v>98.108108108108098</v>
      </c>
      <c r="X17" s="26">
        <v>98.918918918918919</v>
      </c>
      <c r="Y17" s="26">
        <v>98.918918918918919</v>
      </c>
      <c r="Z17" s="25">
        <v>98.648648648648646</v>
      </c>
      <c r="AA17" s="24">
        <v>97.297297297297305</v>
      </c>
      <c r="AB17" s="24">
        <v>97.837837837837839</v>
      </c>
      <c r="AC17" s="24">
        <v>98.918918918918905</v>
      </c>
    </row>
    <row r="18" spans="2:29">
      <c r="B18" s="4" t="s">
        <v>65</v>
      </c>
      <c r="C18" s="24">
        <v>85.549132947976886</v>
      </c>
      <c r="D18" s="24">
        <v>82.658959537572301</v>
      </c>
      <c r="E18" s="25">
        <v>87.283236994219649</v>
      </c>
      <c r="F18" s="26">
        <v>90.751445086705203</v>
      </c>
      <c r="G18" s="24">
        <v>82.658959537572258</v>
      </c>
      <c r="H18" s="24">
        <v>85.549132947976886</v>
      </c>
      <c r="I18" s="24">
        <v>89.595375722543352</v>
      </c>
      <c r="J18" s="24">
        <v>85.549132947976886</v>
      </c>
      <c r="K18" s="24">
        <v>93.063583815028906</v>
      </c>
      <c r="L18" s="24">
        <v>83.815028901734095</v>
      </c>
      <c r="M18" s="24">
        <v>85.549132947976901</v>
      </c>
      <c r="R18" s="4" t="s">
        <v>115</v>
      </c>
      <c r="S18" s="24">
        <v>85.549132947976886</v>
      </c>
      <c r="T18" s="24">
        <v>82.658959537572301</v>
      </c>
      <c r="U18" s="25">
        <v>87.283236994219649</v>
      </c>
      <c r="V18" s="26">
        <v>90.751445086705203</v>
      </c>
      <c r="W18" s="24">
        <v>82.658959537572258</v>
      </c>
      <c r="X18" s="24">
        <v>85.549132947976886</v>
      </c>
      <c r="Y18" s="24">
        <v>89.595375722543352</v>
      </c>
      <c r="Z18" s="24">
        <v>85.549132947976886</v>
      </c>
      <c r="AA18" s="24">
        <v>93.063583815028906</v>
      </c>
      <c r="AB18" s="24">
        <v>83.815028901734095</v>
      </c>
      <c r="AC18" s="24">
        <v>85.549132947976901</v>
      </c>
    </row>
    <row r="19" spans="2:29">
      <c r="B19" s="4" t="s">
        <v>66</v>
      </c>
      <c r="C19" s="24">
        <v>92.150170648464169</v>
      </c>
      <c r="D19" s="24">
        <v>89.761092150170697</v>
      </c>
      <c r="E19" s="24">
        <v>91.808873720136518</v>
      </c>
      <c r="F19" s="26">
        <v>93.174061433447093</v>
      </c>
      <c r="G19" s="24">
        <v>91.467576791808867</v>
      </c>
      <c r="H19" s="24">
        <v>90.102389078498291</v>
      </c>
      <c r="I19" s="24">
        <v>87.713310580204777</v>
      </c>
      <c r="J19" s="25">
        <v>92.491467576791806</v>
      </c>
      <c r="K19" s="24">
        <v>92.832764505119457</v>
      </c>
      <c r="L19" s="24">
        <v>91.12627986348123</v>
      </c>
      <c r="M19" s="24">
        <v>91.808873720136503</v>
      </c>
      <c r="R19" s="4" t="s">
        <v>116</v>
      </c>
      <c r="S19" s="24">
        <v>92.150170648464169</v>
      </c>
      <c r="T19" s="24">
        <v>89.761092150170697</v>
      </c>
      <c r="U19" s="24">
        <v>91.808873720136518</v>
      </c>
      <c r="V19" s="26">
        <v>93.174061433447093</v>
      </c>
      <c r="W19" s="24">
        <v>91.467576791808867</v>
      </c>
      <c r="X19" s="24">
        <v>90.102389078498291</v>
      </c>
      <c r="Y19" s="24">
        <v>87.713310580204777</v>
      </c>
      <c r="Z19" s="25">
        <v>92.491467576791806</v>
      </c>
      <c r="AA19" s="24">
        <v>92.832764505119457</v>
      </c>
      <c r="AB19" s="24">
        <v>91.12627986348123</v>
      </c>
      <c r="AC19" s="24">
        <v>91.808873720136503</v>
      </c>
    </row>
    <row r="20" spans="2:29">
      <c r="B20" s="4" t="s">
        <v>67</v>
      </c>
      <c r="C20" s="24">
        <v>61.111111111111114</v>
      </c>
      <c r="D20" s="24">
        <v>61.1111111111111</v>
      </c>
      <c r="E20" s="24">
        <v>60.55555555555555</v>
      </c>
      <c r="F20" s="24">
        <v>61.111111111111114</v>
      </c>
      <c r="G20" s="24">
        <v>60</v>
      </c>
      <c r="H20" s="25">
        <v>63.333333333333329</v>
      </c>
      <c r="I20" s="24">
        <v>61.111111111111114</v>
      </c>
      <c r="J20" s="26">
        <v>65</v>
      </c>
      <c r="K20" s="24">
        <v>58.888888888888893</v>
      </c>
      <c r="L20" s="24">
        <v>60.55555555555555</v>
      </c>
      <c r="M20" s="24">
        <v>62.2222222222222</v>
      </c>
      <c r="R20" s="4" t="s">
        <v>117</v>
      </c>
      <c r="S20" s="24">
        <v>61.111111111111114</v>
      </c>
      <c r="T20" s="24">
        <v>61.1111111111111</v>
      </c>
      <c r="U20" s="24">
        <v>60.55555555555555</v>
      </c>
      <c r="V20" s="24">
        <v>61.111111111111114</v>
      </c>
      <c r="W20" s="24">
        <v>60</v>
      </c>
      <c r="X20" s="25">
        <v>63.333333333333329</v>
      </c>
      <c r="Y20" s="24">
        <v>61.111111111111114</v>
      </c>
      <c r="Z20" s="26">
        <v>65</v>
      </c>
      <c r="AA20" s="24">
        <v>58.888888888888893</v>
      </c>
      <c r="AB20" s="24">
        <v>60.55555555555555</v>
      </c>
      <c r="AC20" s="24">
        <v>62.2222222222222</v>
      </c>
    </row>
    <row r="21" spans="2:29">
      <c r="B21" s="4" t="s">
        <v>88</v>
      </c>
      <c r="C21" s="26">
        <v>99.954524783992696</v>
      </c>
      <c r="D21" s="24">
        <v>99.772623919963607</v>
      </c>
      <c r="E21" s="25">
        <v>99.909049567985448</v>
      </c>
      <c r="F21" s="24">
        <v>99.727148703956345</v>
      </c>
      <c r="G21" s="25">
        <v>99.909049567985448</v>
      </c>
      <c r="H21" s="24">
        <v>99.863574351978173</v>
      </c>
      <c r="I21" s="24">
        <v>99.818099135970897</v>
      </c>
      <c r="J21" s="26">
        <v>99.954524783992724</v>
      </c>
      <c r="K21" s="24">
        <v>99.181446111869036</v>
      </c>
      <c r="L21" s="24">
        <v>99.954524783992724</v>
      </c>
      <c r="M21" s="24">
        <v>99.818099135970897</v>
      </c>
      <c r="R21" s="4" t="s">
        <v>118</v>
      </c>
      <c r="S21" s="26">
        <v>99.954524783992696</v>
      </c>
      <c r="T21" s="24">
        <v>99.772623919963607</v>
      </c>
      <c r="U21" s="25">
        <v>99.909049567985448</v>
      </c>
      <c r="V21" s="24">
        <v>99.727148703956345</v>
      </c>
      <c r="W21" s="25">
        <v>99.909049567985448</v>
      </c>
      <c r="X21" s="24">
        <v>99.863574351978173</v>
      </c>
      <c r="Y21" s="24">
        <v>99.818099135970897</v>
      </c>
      <c r="Z21" s="26">
        <v>99.954524783992724</v>
      </c>
      <c r="AA21" s="24">
        <v>99.181446111869036</v>
      </c>
      <c r="AB21" s="24">
        <v>99.954524783992724</v>
      </c>
      <c r="AC21" s="24">
        <v>99.818099135970897</v>
      </c>
    </row>
    <row r="22" spans="2:29">
      <c r="B22" s="4" t="s">
        <v>68</v>
      </c>
      <c r="C22" s="24">
        <v>93.125</v>
      </c>
      <c r="D22" s="24">
        <v>91.25</v>
      </c>
      <c r="E22" s="24">
        <v>92.1875</v>
      </c>
      <c r="F22" s="24">
        <v>89.0625</v>
      </c>
      <c r="G22" s="26">
        <v>93.75</v>
      </c>
      <c r="H22" s="24">
        <v>89.375</v>
      </c>
      <c r="I22" s="24">
        <v>86.25</v>
      </c>
      <c r="J22" s="25">
        <v>93.4375</v>
      </c>
      <c r="K22" s="24">
        <v>84.375</v>
      </c>
      <c r="L22" s="24">
        <v>92.8125</v>
      </c>
      <c r="M22" s="24">
        <v>93.4375</v>
      </c>
      <c r="R22" s="4" t="s">
        <v>119</v>
      </c>
      <c r="S22" s="24">
        <v>93.125</v>
      </c>
      <c r="T22" s="24">
        <v>91.25</v>
      </c>
      <c r="U22" s="24">
        <v>92.1875</v>
      </c>
      <c r="V22" s="24">
        <v>89.0625</v>
      </c>
      <c r="W22" s="26">
        <v>93.75</v>
      </c>
      <c r="X22" s="24">
        <v>89.375</v>
      </c>
      <c r="Y22" s="24">
        <v>86.25</v>
      </c>
      <c r="Z22" s="25">
        <v>93.4375</v>
      </c>
      <c r="AA22" s="24">
        <v>84.375</v>
      </c>
      <c r="AB22" s="24">
        <v>92.8125</v>
      </c>
      <c r="AC22" s="24">
        <v>93.4375</v>
      </c>
    </row>
    <row r="23" spans="2:29">
      <c r="B23" s="4" t="s">
        <v>69</v>
      </c>
      <c r="C23" s="26">
        <v>99.333333333333329</v>
      </c>
      <c r="D23" s="26">
        <v>99.3333333333333</v>
      </c>
      <c r="E23" s="25">
        <v>99</v>
      </c>
      <c r="F23" s="25">
        <v>99</v>
      </c>
      <c r="G23" s="26">
        <v>99.333333333333329</v>
      </c>
      <c r="H23" s="25">
        <v>99</v>
      </c>
      <c r="I23" s="24">
        <v>97</v>
      </c>
      <c r="J23" s="26">
        <v>99.333333333333329</v>
      </c>
      <c r="K23" s="24">
        <v>97.666666666666671</v>
      </c>
      <c r="L23" s="24">
        <v>99</v>
      </c>
      <c r="M23" s="24">
        <v>99.3333333333333</v>
      </c>
      <c r="R23" s="4" t="s">
        <v>120</v>
      </c>
      <c r="S23" s="26">
        <v>99.333333333333329</v>
      </c>
      <c r="T23" s="26">
        <v>99.3333333333333</v>
      </c>
      <c r="U23" s="25">
        <v>99</v>
      </c>
      <c r="V23" s="25">
        <v>99</v>
      </c>
      <c r="W23" s="26">
        <v>99.333333333333329</v>
      </c>
      <c r="X23" s="25">
        <v>99</v>
      </c>
      <c r="Y23" s="24">
        <v>97</v>
      </c>
      <c r="Z23" s="26">
        <v>99.333333333333329</v>
      </c>
      <c r="AA23" s="24">
        <v>97.666666666666671</v>
      </c>
      <c r="AB23" s="24">
        <v>99</v>
      </c>
      <c r="AC23" s="24">
        <v>99.3333333333333</v>
      </c>
    </row>
    <row r="24" spans="2:29">
      <c r="B24" s="4" t="s">
        <v>70</v>
      </c>
      <c r="C24" s="26">
        <v>73.333333333333329</v>
      </c>
      <c r="D24" s="24">
        <v>46.6666666666667</v>
      </c>
      <c r="E24" s="24">
        <v>53.333333333333336</v>
      </c>
      <c r="F24" s="25">
        <v>66.666666666666657</v>
      </c>
      <c r="G24" s="24">
        <v>53.333333333333336</v>
      </c>
      <c r="H24" s="25">
        <v>66.666666666666657</v>
      </c>
      <c r="I24" s="25">
        <v>66.666666666666657</v>
      </c>
      <c r="J24" s="24">
        <v>53.333333333333336</v>
      </c>
      <c r="K24" s="24">
        <v>66.666666666666657</v>
      </c>
      <c r="L24" s="24">
        <v>46.666666666666664</v>
      </c>
      <c r="M24" s="24">
        <v>60</v>
      </c>
      <c r="R24" s="4" t="s">
        <v>121</v>
      </c>
      <c r="S24" s="26">
        <v>73.333333333333329</v>
      </c>
      <c r="T24" s="24">
        <v>46.6666666666667</v>
      </c>
      <c r="U24" s="24">
        <v>53.333333333333336</v>
      </c>
      <c r="V24" s="25">
        <v>66.666666666666657</v>
      </c>
      <c r="W24" s="24">
        <v>53.333333333333336</v>
      </c>
      <c r="X24" s="25">
        <v>66.666666666666657</v>
      </c>
      <c r="Y24" s="25">
        <v>66.666666666666657</v>
      </c>
      <c r="Z24" s="24">
        <v>53.333333333333336</v>
      </c>
      <c r="AA24" s="24">
        <v>66.666666666666657</v>
      </c>
      <c r="AB24" s="24">
        <v>46.666666666666664</v>
      </c>
      <c r="AC24" s="24">
        <v>60</v>
      </c>
    </row>
    <row r="25" spans="2:29">
      <c r="B25" s="4" t="s">
        <v>71</v>
      </c>
      <c r="C25" s="26">
        <v>100</v>
      </c>
      <c r="D25" s="26">
        <v>100</v>
      </c>
      <c r="E25" s="26">
        <v>100</v>
      </c>
      <c r="F25" s="26">
        <v>100</v>
      </c>
      <c r="G25" s="26">
        <v>100</v>
      </c>
      <c r="H25" s="26">
        <v>100</v>
      </c>
      <c r="I25" s="26">
        <v>100</v>
      </c>
      <c r="J25" s="26">
        <v>100</v>
      </c>
      <c r="K25" s="24">
        <v>97.5</v>
      </c>
      <c r="L25" s="24">
        <v>100</v>
      </c>
      <c r="M25" s="24">
        <v>100</v>
      </c>
      <c r="R25" s="4" t="s">
        <v>122</v>
      </c>
      <c r="S25" s="26">
        <v>100</v>
      </c>
      <c r="T25" s="26">
        <v>100</v>
      </c>
      <c r="U25" s="26">
        <v>100</v>
      </c>
      <c r="V25" s="26">
        <v>100</v>
      </c>
      <c r="W25" s="26">
        <v>100</v>
      </c>
      <c r="X25" s="26">
        <v>100</v>
      </c>
      <c r="Y25" s="26">
        <v>100</v>
      </c>
      <c r="Z25" s="26">
        <v>100</v>
      </c>
      <c r="AA25" s="24">
        <v>97.5</v>
      </c>
      <c r="AB25" s="24">
        <v>100</v>
      </c>
      <c r="AC25" s="24">
        <v>100</v>
      </c>
    </row>
    <row r="26" spans="2:29">
      <c r="B26" s="4" t="s">
        <v>89</v>
      </c>
      <c r="C26" s="24">
        <v>99.582172701949858</v>
      </c>
      <c r="D26" s="24">
        <v>99.442896935933106</v>
      </c>
      <c r="E26" s="24">
        <v>99.512534818941504</v>
      </c>
      <c r="F26" s="24">
        <v>99.094707520891362</v>
      </c>
      <c r="G26" s="26">
        <v>99.791086350974936</v>
      </c>
      <c r="H26" s="24">
        <v>99.233983286908085</v>
      </c>
      <c r="I26" s="24">
        <v>99.582172701949858</v>
      </c>
      <c r="J26" s="25">
        <v>99.721448467966582</v>
      </c>
      <c r="K26" s="24">
        <v>98.816155988857929</v>
      </c>
      <c r="L26" s="24">
        <v>99.791086350974936</v>
      </c>
      <c r="M26" s="24">
        <v>99.582172701949901</v>
      </c>
      <c r="R26" s="4" t="s">
        <v>123</v>
      </c>
      <c r="S26" s="24">
        <v>99.582172701949858</v>
      </c>
      <c r="T26" s="24">
        <v>99.442896935933106</v>
      </c>
      <c r="U26" s="24">
        <v>99.512534818941504</v>
      </c>
      <c r="V26" s="24">
        <v>99.094707520891362</v>
      </c>
      <c r="W26" s="26">
        <v>99.791086350974936</v>
      </c>
      <c r="X26" s="24">
        <v>99.233983286908085</v>
      </c>
      <c r="Y26" s="24">
        <v>99.582172701949858</v>
      </c>
      <c r="Z26" s="25">
        <v>99.721448467966582</v>
      </c>
      <c r="AA26" s="24">
        <v>98.816155988857929</v>
      </c>
      <c r="AB26" s="24">
        <v>99.791086350974936</v>
      </c>
      <c r="AC26" s="24">
        <v>99.582172701949901</v>
      </c>
    </row>
    <row r="27" spans="2:29">
      <c r="B27" s="4" t="s">
        <v>72</v>
      </c>
      <c r="C27" s="26">
        <v>100</v>
      </c>
      <c r="D27" s="26">
        <v>100</v>
      </c>
      <c r="E27" s="26">
        <v>100</v>
      </c>
      <c r="F27" s="25">
        <v>98.611111111111114</v>
      </c>
      <c r="G27" s="26">
        <v>100</v>
      </c>
      <c r="H27" s="26">
        <v>100</v>
      </c>
      <c r="I27" s="26">
        <v>100</v>
      </c>
      <c r="J27" s="26">
        <v>100</v>
      </c>
      <c r="K27" s="24">
        <v>97.222222222222214</v>
      </c>
      <c r="L27" s="24">
        <v>100</v>
      </c>
      <c r="M27" s="24">
        <v>100</v>
      </c>
      <c r="R27" s="4" t="s">
        <v>124</v>
      </c>
      <c r="S27" s="26">
        <v>100</v>
      </c>
      <c r="T27" s="26">
        <v>100</v>
      </c>
      <c r="U27" s="26">
        <v>100</v>
      </c>
      <c r="V27" s="25">
        <v>98.611111111111114</v>
      </c>
      <c r="W27" s="26">
        <v>100</v>
      </c>
      <c r="X27" s="26">
        <v>100</v>
      </c>
      <c r="Y27" s="26">
        <v>100</v>
      </c>
      <c r="Z27" s="26">
        <v>100</v>
      </c>
      <c r="AA27" s="24">
        <v>97.222222222222214</v>
      </c>
      <c r="AB27" s="24">
        <v>100</v>
      </c>
      <c r="AC27" s="24">
        <v>100</v>
      </c>
    </row>
    <row r="28" spans="2:29">
      <c r="B28" s="4" t="s">
        <v>73</v>
      </c>
      <c r="C28" s="24">
        <v>70</v>
      </c>
      <c r="D28" s="24">
        <v>66</v>
      </c>
      <c r="E28" s="24">
        <v>74</v>
      </c>
      <c r="F28" s="24">
        <v>64</v>
      </c>
      <c r="G28" s="24">
        <v>72</v>
      </c>
      <c r="H28" s="25">
        <v>76</v>
      </c>
      <c r="I28" s="26">
        <v>80</v>
      </c>
      <c r="J28" s="24">
        <v>70</v>
      </c>
      <c r="K28" s="24">
        <v>52</v>
      </c>
      <c r="L28" s="24">
        <v>72</v>
      </c>
      <c r="M28" s="24">
        <v>74</v>
      </c>
      <c r="R28" s="4" t="s">
        <v>125</v>
      </c>
      <c r="S28" s="24">
        <v>70</v>
      </c>
      <c r="T28" s="24">
        <v>66</v>
      </c>
      <c r="U28" s="24">
        <v>74</v>
      </c>
      <c r="V28" s="24">
        <v>64</v>
      </c>
      <c r="W28" s="24">
        <v>72</v>
      </c>
      <c r="X28" s="25">
        <v>76</v>
      </c>
      <c r="Y28" s="26">
        <v>80</v>
      </c>
      <c r="Z28" s="24">
        <v>70</v>
      </c>
      <c r="AA28" s="24">
        <v>52</v>
      </c>
      <c r="AB28" s="24">
        <v>72</v>
      </c>
      <c r="AC28" s="24">
        <v>74</v>
      </c>
    </row>
    <row r="29" spans="2:29">
      <c r="B29" s="4" t="s">
        <v>74</v>
      </c>
      <c r="C29" s="26">
        <v>85.496183206106863</v>
      </c>
      <c r="D29" s="24">
        <v>83.206106870228993</v>
      </c>
      <c r="E29" s="24">
        <v>84.732824427480907</v>
      </c>
      <c r="F29" s="24">
        <v>67.175572519083971</v>
      </c>
      <c r="G29" s="24">
        <v>83.969465648854964</v>
      </c>
      <c r="H29" s="25">
        <v>84.732824427480907</v>
      </c>
      <c r="I29" s="24">
        <v>51.908396946564885</v>
      </c>
      <c r="J29" s="24">
        <v>83.969465648854964</v>
      </c>
      <c r="K29" s="24">
        <v>67.175572519083971</v>
      </c>
      <c r="L29" s="24">
        <v>75.572519083969468</v>
      </c>
      <c r="M29" s="24">
        <v>85.496183206106906</v>
      </c>
      <c r="R29" s="4" t="s">
        <v>126</v>
      </c>
      <c r="S29" s="26">
        <v>85.496183206106863</v>
      </c>
      <c r="T29" s="24">
        <v>83.206106870228993</v>
      </c>
      <c r="U29" s="24">
        <v>84.732824427480907</v>
      </c>
      <c r="V29" s="24">
        <v>67.175572519083971</v>
      </c>
      <c r="W29" s="24">
        <v>83.969465648854964</v>
      </c>
      <c r="X29" s="25">
        <v>84.732824427480907</v>
      </c>
      <c r="Y29" s="24">
        <v>51.908396946564885</v>
      </c>
      <c r="Z29" s="24">
        <v>83.969465648854964</v>
      </c>
      <c r="AA29" s="24">
        <v>67.175572519083971</v>
      </c>
      <c r="AB29" s="24">
        <v>75.572519083969468</v>
      </c>
      <c r="AC29" s="24">
        <v>85.496183206106906</v>
      </c>
    </row>
    <row r="30" spans="2:29">
      <c r="B30" s="4" t="s">
        <v>75</v>
      </c>
      <c r="C30" s="25">
        <v>97.826086956521735</v>
      </c>
      <c r="D30" s="25">
        <v>97.826086956521706</v>
      </c>
      <c r="E30" s="24">
        <v>97.101449275362313</v>
      </c>
      <c r="F30" s="24">
        <v>96.376811594202891</v>
      </c>
      <c r="G30" s="25">
        <v>97.826086956521735</v>
      </c>
      <c r="H30" s="26">
        <v>98.550724637681171</v>
      </c>
      <c r="I30" s="25">
        <v>97.826086956521735</v>
      </c>
      <c r="J30" s="25">
        <v>97.826086956521735</v>
      </c>
      <c r="K30" s="24">
        <v>92.753623188405797</v>
      </c>
      <c r="L30" s="24">
        <v>97.101449275362313</v>
      </c>
      <c r="M30" s="24">
        <v>97.826086956521706</v>
      </c>
      <c r="R30" s="4" t="s">
        <v>127</v>
      </c>
      <c r="S30" s="25">
        <v>97.826086956521735</v>
      </c>
      <c r="T30" s="25">
        <v>97.826086956521706</v>
      </c>
      <c r="U30" s="24">
        <v>97.101449275362313</v>
      </c>
      <c r="V30" s="24">
        <v>96.376811594202891</v>
      </c>
      <c r="W30" s="25">
        <v>97.826086956521735</v>
      </c>
      <c r="X30" s="26">
        <v>98.550724637681171</v>
      </c>
      <c r="Y30" s="25">
        <v>97.826086956521735</v>
      </c>
      <c r="Z30" s="25">
        <v>97.826086956521735</v>
      </c>
      <c r="AA30" s="24">
        <v>92.753623188405797</v>
      </c>
      <c r="AB30" s="24">
        <v>97.101449275362313</v>
      </c>
      <c r="AC30" s="24">
        <v>97.826086956521706</v>
      </c>
    </row>
    <row r="31" spans="2:29">
      <c r="B31" s="4" t="s">
        <v>90</v>
      </c>
      <c r="C31" s="24">
        <v>93.703703703703695</v>
      </c>
      <c r="D31" s="24">
        <v>91.851851851851805</v>
      </c>
      <c r="E31" s="24">
        <v>94.444444444444443</v>
      </c>
      <c r="F31" s="26">
        <v>95.925925925925924</v>
      </c>
      <c r="G31" s="25">
        <v>95.18518518518519</v>
      </c>
      <c r="H31" s="24">
        <v>91.851851851851848</v>
      </c>
      <c r="I31" s="24">
        <v>92.222222222222229</v>
      </c>
      <c r="J31" s="24">
        <v>93.703703703703695</v>
      </c>
      <c r="K31" s="24">
        <v>94.444444444444443</v>
      </c>
      <c r="L31" s="24">
        <v>96.296296296296291</v>
      </c>
      <c r="M31" s="24">
        <v>94.814814814814795</v>
      </c>
      <c r="R31" s="4" t="s">
        <v>128</v>
      </c>
      <c r="S31" s="24">
        <v>93.703703703703695</v>
      </c>
      <c r="T31" s="24">
        <v>91.851851851851805</v>
      </c>
      <c r="U31" s="24">
        <v>94.444444444444443</v>
      </c>
      <c r="V31" s="26">
        <v>95.925925925925924</v>
      </c>
      <c r="W31" s="25">
        <v>95.18518518518519</v>
      </c>
      <c r="X31" s="24">
        <v>91.851851851851848</v>
      </c>
      <c r="Y31" s="24">
        <v>92.222222222222229</v>
      </c>
      <c r="Z31" s="24">
        <v>93.703703703703695</v>
      </c>
      <c r="AA31" s="24">
        <v>94.444444444444443</v>
      </c>
      <c r="AB31" s="24">
        <v>96.296296296296291</v>
      </c>
      <c r="AC31" s="24">
        <v>94.814814814814795</v>
      </c>
    </row>
    <row r="32" spans="2:29">
      <c r="B32" s="4" t="s">
        <v>76</v>
      </c>
      <c r="C32" s="26">
        <v>71</v>
      </c>
      <c r="D32" s="24">
        <v>64</v>
      </c>
      <c r="E32" s="24">
        <v>65</v>
      </c>
      <c r="F32" s="25">
        <v>69</v>
      </c>
      <c r="G32" s="24">
        <v>64</v>
      </c>
      <c r="H32" s="24">
        <v>67</v>
      </c>
      <c r="I32" s="24">
        <v>68</v>
      </c>
      <c r="J32" s="26">
        <v>71</v>
      </c>
      <c r="K32" s="24">
        <v>64</v>
      </c>
      <c r="L32" s="24">
        <v>64</v>
      </c>
      <c r="M32" s="24">
        <v>68</v>
      </c>
      <c r="R32" s="4" t="s">
        <v>129</v>
      </c>
      <c r="S32" s="26">
        <v>71</v>
      </c>
      <c r="T32" s="24">
        <v>64</v>
      </c>
      <c r="U32" s="24">
        <v>65</v>
      </c>
      <c r="V32" s="25">
        <v>69</v>
      </c>
      <c r="W32" s="24">
        <v>64</v>
      </c>
      <c r="X32" s="24">
        <v>67</v>
      </c>
      <c r="Y32" s="24">
        <v>68</v>
      </c>
      <c r="Z32" s="26">
        <v>71</v>
      </c>
      <c r="AA32" s="24">
        <v>64</v>
      </c>
      <c r="AB32" s="24">
        <v>64</v>
      </c>
      <c r="AC32" s="24">
        <v>68</v>
      </c>
    </row>
    <row r="33" spans="2:29">
      <c r="B33" s="4" t="s">
        <v>77</v>
      </c>
      <c r="C33" s="26">
        <v>72.972972972972968</v>
      </c>
      <c r="D33" s="24">
        <v>64.864864864864899</v>
      </c>
      <c r="E33" s="24">
        <v>68.918918918918919</v>
      </c>
      <c r="F33" s="24">
        <v>68.918918918918919</v>
      </c>
      <c r="G33" s="24">
        <v>68.918918918918919</v>
      </c>
      <c r="H33" s="24">
        <v>56.756756756756758</v>
      </c>
      <c r="I33" s="24">
        <v>50</v>
      </c>
      <c r="J33" s="25">
        <v>70.270270270270274</v>
      </c>
      <c r="K33" s="24">
        <v>52.702702702702695</v>
      </c>
      <c r="L33" s="24">
        <v>74.324324324324323</v>
      </c>
      <c r="M33" s="24">
        <v>68.918918918918905</v>
      </c>
      <c r="R33" s="4" t="s">
        <v>130</v>
      </c>
      <c r="S33" s="26">
        <v>72.972972972972968</v>
      </c>
      <c r="T33" s="24">
        <v>64.864864864864899</v>
      </c>
      <c r="U33" s="24">
        <v>68.918918918918919</v>
      </c>
      <c r="V33" s="24">
        <v>68.918918918918919</v>
      </c>
      <c r="W33" s="24">
        <v>68.918918918918919</v>
      </c>
      <c r="X33" s="24">
        <v>56.756756756756758</v>
      </c>
      <c r="Y33" s="24">
        <v>50</v>
      </c>
      <c r="Z33" s="25">
        <v>70.270270270270274</v>
      </c>
      <c r="AA33" s="24">
        <v>52.702702702702695</v>
      </c>
      <c r="AB33" s="24">
        <v>74.324324324324323</v>
      </c>
      <c r="AC33" s="24">
        <v>68.918918918918905</v>
      </c>
    </row>
    <row r="34" spans="2:29">
      <c r="B34" s="4" t="s">
        <v>91</v>
      </c>
      <c r="C34" s="24">
        <v>66.304000000000002</v>
      </c>
      <c r="D34" s="24">
        <v>65.951999999999998</v>
      </c>
      <c r="E34" s="24">
        <v>66.22</v>
      </c>
      <c r="F34" s="24">
        <v>65.124000000000009</v>
      </c>
      <c r="G34" s="24">
        <v>66.084000000000003</v>
      </c>
      <c r="H34" s="25">
        <v>66.391999999999996</v>
      </c>
      <c r="I34" s="26">
        <v>66.584000000000003</v>
      </c>
      <c r="J34" s="24">
        <v>66.304000000000002</v>
      </c>
      <c r="K34" s="24">
        <v>62.683999999999997</v>
      </c>
      <c r="L34" s="24">
        <v>66.396000000000001</v>
      </c>
      <c r="M34" s="24">
        <v>66.756</v>
      </c>
      <c r="R34" s="4" t="s">
        <v>131</v>
      </c>
      <c r="S34" s="24">
        <v>66.304000000000002</v>
      </c>
      <c r="T34" s="24">
        <v>65.951999999999998</v>
      </c>
      <c r="U34" s="24">
        <v>66.22</v>
      </c>
      <c r="V34" s="24">
        <v>65.124000000000009</v>
      </c>
      <c r="W34" s="24">
        <v>66.084000000000003</v>
      </c>
      <c r="X34" s="25">
        <v>66.391999999999996</v>
      </c>
      <c r="Y34" s="26">
        <v>66.584000000000003</v>
      </c>
      <c r="Z34" s="24">
        <v>66.304000000000002</v>
      </c>
      <c r="AA34" s="24">
        <v>62.683999999999997</v>
      </c>
      <c r="AB34" s="24">
        <v>66.396000000000001</v>
      </c>
      <c r="AC34" s="24">
        <v>66.756</v>
      </c>
    </row>
    <row r="35" spans="2:29">
      <c r="B35" s="4" t="s">
        <v>78</v>
      </c>
      <c r="C35" s="26">
        <v>91.666666666666657</v>
      </c>
      <c r="D35" s="26">
        <v>91.6666666666667</v>
      </c>
      <c r="E35" s="25">
        <v>90.555555555555557</v>
      </c>
      <c r="F35" s="24">
        <v>86.111111111111114</v>
      </c>
      <c r="G35" s="24">
        <v>91.111111111111114</v>
      </c>
      <c r="H35" s="24">
        <v>88.888888888888886</v>
      </c>
      <c r="I35" s="24">
        <v>88.888888888888886</v>
      </c>
      <c r="J35" s="26">
        <v>91.666666666666657</v>
      </c>
      <c r="K35" s="24">
        <v>82.777777777777771</v>
      </c>
      <c r="L35" s="24">
        <v>92.777777777777786</v>
      </c>
      <c r="M35" s="24">
        <v>92.2222222222222</v>
      </c>
      <c r="R35" s="4" t="s">
        <v>132</v>
      </c>
      <c r="S35" s="26">
        <v>91.666666666666657</v>
      </c>
      <c r="T35" s="26">
        <v>91.6666666666667</v>
      </c>
      <c r="U35" s="25">
        <v>90.555555555555557</v>
      </c>
      <c r="V35" s="24">
        <v>86.111111111111114</v>
      </c>
      <c r="W35" s="24">
        <v>91.111111111111114</v>
      </c>
      <c r="X35" s="24">
        <v>88.888888888888886</v>
      </c>
      <c r="Y35" s="24">
        <v>88.888888888888886</v>
      </c>
      <c r="Z35" s="26">
        <v>91.666666666666657</v>
      </c>
      <c r="AA35" s="24">
        <v>82.777777777777771</v>
      </c>
      <c r="AB35" s="24">
        <v>92.777777777777786</v>
      </c>
      <c r="AC35" s="24">
        <v>92.2222222222222</v>
      </c>
    </row>
    <row r="36" spans="2:29">
      <c r="B36" s="4" t="s">
        <v>79</v>
      </c>
      <c r="C36" s="25">
        <v>45.579886455798899</v>
      </c>
      <c r="D36" s="24">
        <v>43.592862935928601</v>
      </c>
      <c r="E36" s="26">
        <v>46.512570965125711</v>
      </c>
      <c r="F36" s="24">
        <v>43.390105433901056</v>
      </c>
      <c r="G36" s="24">
        <v>45.174371451743717</v>
      </c>
      <c r="H36" s="24">
        <v>43.592862935928629</v>
      </c>
      <c r="I36" s="24">
        <v>42.700729927007295</v>
      </c>
      <c r="J36" s="25">
        <v>45.579886455798864</v>
      </c>
      <c r="K36" s="24">
        <v>37.307380373073805</v>
      </c>
      <c r="L36" s="24">
        <v>43.917274939172749</v>
      </c>
      <c r="M36" s="24">
        <v>44.282238442822397</v>
      </c>
      <c r="R36" s="4" t="s">
        <v>79</v>
      </c>
      <c r="S36" s="25">
        <v>45.579886455798899</v>
      </c>
      <c r="T36" s="24">
        <v>43.592862935928601</v>
      </c>
      <c r="U36" s="26">
        <v>46.512570965125711</v>
      </c>
      <c r="V36" s="24">
        <v>43.390105433901056</v>
      </c>
      <c r="W36" s="24">
        <v>45.174371451743717</v>
      </c>
      <c r="X36" s="24">
        <v>43.592862935928629</v>
      </c>
      <c r="Y36" s="24">
        <v>42.700729927007295</v>
      </c>
      <c r="Z36" s="25">
        <v>45.579886455798864</v>
      </c>
      <c r="AA36" s="24">
        <v>37.307380373073805</v>
      </c>
      <c r="AB36" s="24">
        <v>43.917274939172749</v>
      </c>
      <c r="AC36" s="24">
        <v>44.282238442822397</v>
      </c>
    </row>
    <row r="37" spans="2:29">
      <c r="B37" s="4" t="s">
        <v>80</v>
      </c>
      <c r="C37" s="24">
        <v>65</v>
      </c>
      <c r="D37" s="24">
        <v>65</v>
      </c>
      <c r="E37" s="26">
        <v>70</v>
      </c>
      <c r="F37" s="26">
        <v>70</v>
      </c>
      <c r="G37" s="24">
        <v>65</v>
      </c>
      <c r="H37" s="24">
        <v>66</v>
      </c>
      <c r="I37" s="24">
        <v>65</v>
      </c>
      <c r="J37" s="25">
        <v>69</v>
      </c>
      <c r="K37" s="24">
        <v>65</v>
      </c>
      <c r="L37" s="24">
        <v>63</v>
      </c>
      <c r="M37" s="24">
        <v>66</v>
      </c>
      <c r="R37" s="4" t="s">
        <v>133</v>
      </c>
      <c r="S37" s="24">
        <v>65</v>
      </c>
      <c r="T37" s="24">
        <v>65</v>
      </c>
      <c r="U37" s="26">
        <v>70</v>
      </c>
      <c r="V37" s="26">
        <v>70</v>
      </c>
      <c r="W37" s="24">
        <v>65</v>
      </c>
      <c r="X37" s="24">
        <v>66</v>
      </c>
      <c r="Y37" s="24">
        <v>65</v>
      </c>
      <c r="Z37" s="25">
        <v>69</v>
      </c>
      <c r="AA37" s="24">
        <v>65</v>
      </c>
      <c r="AB37" s="24">
        <v>63</v>
      </c>
      <c r="AC37" s="24">
        <v>66</v>
      </c>
    </row>
    <row r="38" spans="2:29">
      <c r="B38" s="4" t="s">
        <v>81</v>
      </c>
      <c r="C38" s="26">
        <v>98.888888888888886</v>
      </c>
      <c r="D38" s="24">
        <v>97.2222222222222</v>
      </c>
      <c r="E38" s="26">
        <v>98.888888888888886</v>
      </c>
      <c r="F38" s="25">
        <v>97.777777777777771</v>
      </c>
      <c r="G38" s="26">
        <v>98.888888888888886</v>
      </c>
      <c r="H38" s="26">
        <v>98.888888888888886</v>
      </c>
      <c r="I38" s="26">
        <v>98.888888888888886</v>
      </c>
      <c r="J38" s="26">
        <v>98.888888888888886</v>
      </c>
      <c r="K38" s="24">
        <v>95.555555555555557</v>
      </c>
      <c r="L38" s="24">
        <v>98.333333333333329</v>
      </c>
      <c r="M38" s="24">
        <v>98.3333333333333</v>
      </c>
      <c r="R38" s="4" t="s">
        <v>134</v>
      </c>
      <c r="S38" s="26">
        <v>98.888888888888886</v>
      </c>
      <c r="T38" s="24">
        <v>97.2222222222222</v>
      </c>
      <c r="U38" s="26">
        <v>98.888888888888886</v>
      </c>
      <c r="V38" s="25">
        <v>97.777777777777771</v>
      </c>
      <c r="W38" s="26">
        <v>98.888888888888886</v>
      </c>
      <c r="X38" s="26">
        <v>98.888888888888886</v>
      </c>
      <c r="Y38" s="26">
        <v>98.888888888888886</v>
      </c>
      <c r="Z38" s="26">
        <v>98.888888888888886</v>
      </c>
      <c r="AA38" s="24">
        <v>95.555555555555557</v>
      </c>
      <c r="AB38" s="24">
        <v>98.333333333333329</v>
      </c>
      <c r="AC38" s="24">
        <v>98.3333333333333</v>
      </c>
    </row>
    <row r="39" spans="2:29">
      <c r="B39" s="4" t="s">
        <v>82</v>
      </c>
      <c r="C39" s="24">
        <v>99.256718124642603</v>
      </c>
      <c r="D39" s="24">
        <v>99.142367066895403</v>
      </c>
      <c r="E39" s="25">
        <v>99.371069182389931</v>
      </c>
      <c r="F39" s="24">
        <v>99.113779302458553</v>
      </c>
      <c r="G39" s="26">
        <v>99.428244711263574</v>
      </c>
      <c r="H39" s="24">
        <v>99.085191538021718</v>
      </c>
      <c r="I39" s="24">
        <v>98.999428244711268</v>
      </c>
      <c r="J39" s="24">
        <v>99.256718124642646</v>
      </c>
      <c r="K39" s="24">
        <v>98.799313893653519</v>
      </c>
      <c r="L39" s="24">
        <v>99.313893653516288</v>
      </c>
      <c r="M39" s="24">
        <v>99.313893653516303</v>
      </c>
      <c r="R39" s="4" t="s">
        <v>135</v>
      </c>
      <c r="S39" s="24">
        <v>99.256718124642603</v>
      </c>
      <c r="T39" s="24">
        <v>99.142367066895403</v>
      </c>
      <c r="U39" s="25">
        <v>99.371069182389931</v>
      </c>
      <c r="V39" s="24">
        <v>99.113779302458553</v>
      </c>
      <c r="W39" s="26">
        <v>99.428244711263574</v>
      </c>
      <c r="X39" s="24">
        <v>99.085191538021718</v>
      </c>
      <c r="Y39" s="24">
        <v>98.999428244711268</v>
      </c>
      <c r="Z39" s="24">
        <v>99.256718124642646</v>
      </c>
      <c r="AA39" s="24">
        <v>98.799313893653519</v>
      </c>
      <c r="AB39" s="24">
        <v>99.313893653516288</v>
      </c>
      <c r="AC39" s="24">
        <v>99.313893653516303</v>
      </c>
    </row>
    <row r="40" spans="2:29">
      <c r="B40" s="4" t="s">
        <v>83</v>
      </c>
      <c r="C40" s="24">
        <v>29.615269907545482</v>
      </c>
      <c r="D40" s="24">
        <v>29.764390098419302</v>
      </c>
      <c r="E40" s="24">
        <v>30.062630480167012</v>
      </c>
      <c r="F40" s="24">
        <v>16.880405606919176</v>
      </c>
      <c r="G40" s="26">
        <v>31.792424694303605</v>
      </c>
      <c r="H40" s="24">
        <v>27.527587235311664</v>
      </c>
      <c r="I40" s="24">
        <v>27.139874739039666</v>
      </c>
      <c r="J40" s="25">
        <v>30.331046823739932</v>
      </c>
      <c r="K40" s="24">
        <v>13.808529674917983</v>
      </c>
      <c r="L40" s="24">
        <v>31.225767968983</v>
      </c>
      <c r="M40" s="24">
        <v>29.764390098419302</v>
      </c>
      <c r="R40" s="4" t="s">
        <v>136</v>
      </c>
      <c r="S40" s="24">
        <v>29.615269907545482</v>
      </c>
      <c r="T40" s="24">
        <v>29.764390098419302</v>
      </c>
      <c r="U40" s="24">
        <v>30.062630480167012</v>
      </c>
      <c r="V40" s="24">
        <v>16.880405606919176</v>
      </c>
      <c r="W40" s="26">
        <v>31.792424694303605</v>
      </c>
      <c r="X40" s="24">
        <v>27.527587235311664</v>
      </c>
      <c r="Y40" s="24">
        <v>27.139874739039666</v>
      </c>
      <c r="Z40" s="25">
        <v>30.331046823739932</v>
      </c>
      <c r="AA40" s="24">
        <v>13.808529674917983</v>
      </c>
      <c r="AB40" s="24">
        <v>31.225767968983</v>
      </c>
      <c r="AC40" s="24">
        <v>29.764390098419302</v>
      </c>
    </row>
    <row r="41" spans="2:29">
      <c r="B41" s="4" t="s">
        <v>84</v>
      </c>
      <c r="C41" s="25">
        <v>92.76315789473685</v>
      </c>
      <c r="D41" s="24">
        <v>90.131578947368396</v>
      </c>
      <c r="E41" s="24">
        <v>93.421052631578945</v>
      </c>
      <c r="F41" s="24">
        <v>90.789473684210535</v>
      </c>
      <c r="G41" s="24">
        <v>90.789473684210535</v>
      </c>
      <c r="H41" s="26">
        <v>94.73684210526315</v>
      </c>
      <c r="I41" s="24">
        <v>88.81578947368422</v>
      </c>
      <c r="J41" s="25">
        <v>92.76315789473685</v>
      </c>
      <c r="K41" s="24">
        <v>84.210526315789465</v>
      </c>
      <c r="L41" s="24">
        <v>94.078947368421055</v>
      </c>
      <c r="M41" s="24">
        <v>90.789473684210506</v>
      </c>
      <c r="R41" s="4" t="s">
        <v>137</v>
      </c>
      <c r="S41" s="25">
        <v>92.76315789473685</v>
      </c>
      <c r="T41" s="24">
        <v>90.131578947368396</v>
      </c>
      <c r="U41" s="24">
        <v>93.421052631578945</v>
      </c>
      <c r="V41" s="24">
        <v>90.789473684210535</v>
      </c>
      <c r="W41" s="24">
        <v>90.789473684210535</v>
      </c>
      <c r="X41" s="26">
        <v>94.73684210526315</v>
      </c>
      <c r="Y41" s="24">
        <v>88.81578947368422</v>
      </c>
      <c r="Z41" s="25">
        <v>92.76315789473685</v>
      </c>
      <c r="AA41" s="24">
        <v>84.210526315789465</v>
      </c>
      <c r="AB41" s="24">
        <v>94.078947368421055</v>
      </c>
      <c r="AC41" s="24">
        <v>90.789473684210506</v>
      </c>
    </row>
    <row r="42" spans="2:29">
      <c r="B42" s="4" t="s">
        <v>85</v>
      </c>
      <c r="C42" s="26">
        <v>80</v>
      </c>
      <c r="D42" s="24">
        <v>60</v>
      </c>
      <c r="E42" s="24">
        <v>66.666666666666657</v>
      </c>
      <c r="F42" s="25">
        <v>73.333333333333329</v>
      </c>
      <c r="G42" s="24">
        <v>66.666666666666657</v>
      </c>
      <c r="H42" s="24">
        <v>66.666666666666657</v>
      </c>
      <c r="I42" s="24">
        <v>66.666666666666657</v>
      </c>
      <c r="J42" s="25">
        <v>73.333333333333329</v>
      </c>
      <c r="K42" s="24">
        <v>73.333333333333329</v>
      </c>
      <c r="L42" s="24">
        <v>53.333333333333336</v>
      </c>
      <c r="M42" s="24">
        <v>73.3333333333333</v>
      </c>
      <c r="R42" s="4" t="s">
        <v>138</v>
      </c>
      <c r="S42" s="26">
        <v>80</v>
      </c>
      <c r="T42" s="24">
        <v>60</v>
      </c>
      <c r="U42" s="24">
        <v>66.666666666666657</v>
      </c>
      <c r="V42" s="25">
        <v>73.333333333333329</v>
      </c>
      <c r="W42" s="24">
        <v>66.666666666666657</v>
      </c>
      <c r="X42" s="24">
        <v>66.666666666666657</v>
      </c>
      <c r="Y42" s="24">
        <v>66.666666666666657</v>
      </c>
      <c r="Z42" s="25">
        <v>73.333333333333329</v>
      </c>
      <c r="AA42" s="24">
        <v>73.333333333333329</v>
      </c>
      <c r="AB42" s="24">
        <v>53.333333333333336</v>
      </c>
      <c r="AC42" s="24">
        <v>73.3333333333333</v>
      </c>
    </row>
    <row r="43" spans="2:29">
      <c r="B43" s="18" t="s">
        <v>92</v>
      </c>
      <c r="C43" s="24">
        <f t="shared" ref="C43:I43" si="0">AVERAGE(C13:C22)</f>
        <v>77.412559417921017</v>
      </c>
      <c r="D43" s="24">
        <f t="shared" si="0"/>
        <v>75.659250984996362</v>
      </c>
      <c r="E43" s="25">
        <f t="shared" si="0"/>
        <v>77.714771444532929</v>
      </c>
      <c r="F43" s="24">
        <f t="shared" si="0"/>
        <v>76.437546845610001</v>
      </c>
      <c r="G43" s="24">
        <f t="shared" si="0"/>
        <v>76.899752380995693</v>
      </c>
      <c r="H43" s="24">
        <f t="shared" si="0"/>
        <v>76.448495102012103</v>
      </c>
      <c r="I43" s="24">
        <f t="shared" si="0"/>
        <v>75.855659988176029</v>
      </c>
      <c r="J43" s="26">
        <f>AVERAGE(J13:J22)</f>
        <v>78.827441383454868</v>
      </c>
      <c r="K43" s="24">
        <v>73.285704982668818</v>
      </c>
      <c r="L43" s="24">
        <v>77.092282728743697</v>
      </c>
      <c r="M43" s="24">
        <v>77.168532491494119</v>
      </c>
      <c r="R43" s="18" t="s">
        <v>92</v>
      </c>
      <c r="S43" s="24">
        <v>77.412559417921017</v>
      </c>
      <c r="T43" s="24">
        <v>75.659250984996362</v>
      </c>
      <c r="U43" s="25">
        <v>77.714771444532929</v>
      </c>
      <c r="V43" s="24">
        <v>76.437546845610001</v>
      </c>
      <c r="W43" s="24">
        <v>76.899752380995693</v>
      </c>
      <c r="X43" s="24">
        <v>76.448495102012103</v>
      </c>
      <c r="Y43" s="24">
        <v>75.855659988176029</v>
      </c>
      <c r="Z43" s="26">
        <v>78.778660895649992</v>
      </c>
      <c r="AA43" s="24">
        <v>73.285704982668818</v>
      </c>
      <c r="AB43" s="24">
        <v>77.092282728743697</v>
      </c>
      <c r="AC43" s="24">
        <v>77.168532491494119</v>
      </c>
    </row>
    <row r="44" spans="2:29">
      <c r="B44" s="18" t="s">
        <v>93</v>
      </c>
      <c r="C44" s="26">
        <f t="shared" ref="C44:I44" si="1">AVERAGE(C13:C42)</f>
        <v>80.214932277513725</v>
      </c>
      <c r="D44" s="24">
        <f t="shared" si="1"/>
        <v>77.075213508895501</v>
      </c>
      <c r="E44" s="24">
        <f t="shared" si="1"/>
        <v>79.162988467806102</v>
      </c>
      <c r="F44" s="24">
        <f t="shared" si="1"/>
        <v>77.722172298753748</v>
      </c>
      <c r="G44" s="24">
        <f t="shared" si="1"/>
        <v>78.609670491508908</v>
      </c>
      <c r="H44" s="24">
        <f t="shared" si="1"/>
        <v>78.535222896881194</v>
      </c>
      <c r="I44" s="24">
        <f t="shared" si="1"/>
        <v>76.848213740152417</v>
      </c>
      <c r="J44" s="25">
        <f>AVERAGE(J13:J42)</f>
        <v>79.818525124544678</v>
      </c>
      <c r="K44" s="24">
        <v>74.242717371661328</v>
      </c>
      <c r="L44" s="24">
        <v>77.935049921985623</v>
      </c>
      <c r="M44" s="24">
        <v>79.348390653814832</v>
      </c>
      <c r="R44" s="18" t="s">
        <v>93</v>
      </c>
      <c r="S44" s="26">
        <v>80.214932277513725</v>
      </c>
      <c r="T44" s="24">
        <v>77.075213508895501</v>
      </c>
      <c r="U44" s="24">
        <v>79.162988467806102</v>
      </c>
      <c r="V44" s="24">
        <v>77.722172298753748</v>
      </c>
      <c r="W44" s="24">
        <v>78.609670491508908</v>
      </c>
      <c r="X44" s="24">
        <v>78.535222896881194</v>
      </c>
      <c r="Y44" s="24">
        <v>76.848213740152417</v>
      </c>
      <c r="Z44" s="25">
        <v>79.802264961943052</v>
      </c>
      <c r="AA44" s="24">
        <v>74.242717371661328</v>
      </c>
      <c r="AB44" s="24">
        <v>77.935049921985623</v>
      </c>
      <c r="AC44" s="24">
        <v>79.348390653814832</v>
      </c>
    </row>
    <row r="45" spans="2:29">
      <c r="B45" s="18" t="s">
        <v>94</v>
      </c>
      <c r="C45" s="28">
        <f t="shared" ref="C45:I45" si="2">C80</f>
        <v>2.5333333333333332</v>
      </c>
      <c r="D45" s="27">
        <f t="shared" si="2"/>
        <v>5.9333333333333336</v>
      </c>
      <c r="E45" s="27">
        <f t="shared" si="2"/>
        <v>3.5333333333333332</v>
      </c>
      <c r="F45" s="27">
        <f t="shared" si="2"/>
        <v>4.9000000000000004</v>
      </c>
      <c r="G45" s="27">
        <f t="shared" si="2"/>
        <v>3.6</v>
      </c>
      <c r="H45" s="27">
        <f t="shared" si="2"/>
        <v>3.9</v>
      </c>
      <c r="I45" s="27">
        <f t="shared" si="2"/>
        <v>4.8666666666666663</v>
      </c>
      <c r="J45" s="29">
        <f>J80</f>
        <v>2.4</v>
      </c>
      <c r="K45" s="27" t="s">
        <v>41</v>
      </c>
      <c r="L45" s="27" t="s">
        <v>97</v>
      </c>
      <c r="M45" s="27" t="s">
        <v>97</v>
      </c>
      <c r="R45" s="18" t="s">
        <v>94</v>
      </c>
      <c r="S45" s="28">
        <v>2.5333333333333332</v>
      </c>
      <c r="T45" s="27">
        <v>5.9333333333333336</v>
      </c>
      <c r="U45" s="27">
        <v>3.5</v>
      </c>
      <c r="V45" s="27">
        <v>4.8666666666666663</v>
      </c>
      <c r="W45" s="27">
        <v>3.6</v>
      </c>
      <c r="X45" s="27">
        <v>3.9</v>
      </c>
      <c r="Y45" s="27">
        <v>4.8666666666666663</v>
      </c>
      <c r="Z45" s="29">
        <v>2.4333333333333331</v>
      </c>
      <c r="AA45" s="27" t="s">
        <v>41</v>
      </c>
      <c r="AB45" s="27" t="s">
        <v>41</v>
      </c>
      <c r="AC45" s="27" t="s">
        <v>41</v>
      </c>
    </row>
    <row r="46" spans="2:29">
      <c r="B46" s="18" t="s">
        <v>95</v>
      </c>
      <c r="C46" s="2" cm="1">
        <f t="array" ref="C46">SUM(--($J13:$J42&gt;=C13:C42))</f>
        <v>25</v>
      </c>
      <c r="D46" s="2" cm="1">
        <f t="array" ref="D46">SUM(--($J13:$J42&gt;=D13:D42))</f>
        <v>30</v>
      </c>
      <c r="E46" s="2" cm="1">
        <f t="array" ref="E46">SUM(--($J13:$J42&gt;=E13:E42))</f>
        <v>22</v>
      </c>
      <c r="F46" s="2" cm="1">
        <f t="array" ref="F46">SUM(--($J13:$J42&gt;=F13:F42))</f>
        <v>24</v>
      </c>
      <c r="G46" s="2" cm="1">
        <f t="array" ref="G46">SUM(--($J13:$J42&gt;=G13:G42))</f>
        <v>23</v>
      </c>
      <c r="H46" s="2" cm="1">
        <f t="array" ref="H46">SUM(--($J13:$J42&gt;=H13:H42))</f>
        <v>22</v>
      </c>
      <c r="I46" s="2" cm="1">
        <f t="array" ref="I46">SUM(--($J13:$J42&gt;=I13:I42))</f>
        <v>25</v>
      </c>
      <c r="J46" s="2" t="s">
        <v>97</v>
      </c>
      <c r="K46" s="2" cm="1">
        <f t="array" ref="K46">SUM(--($J13:$J42&gt;=K13:K42))</f>
        <v>26</v>
      </c>
      <c r="L46" s="2" cm="1">
        <f t="array" ref="L46">SUM(--($J13:$J42&gt;=L13:L42))</f>
        <v>20</v>
      </c>
      <c r="M46" s="2" cm="1">
        <f t="array" ref="M46">SUM(--($J13:$J42&gt;=M13:M42))</f>
        <v>20</v>
      </c>
      <c r="R46" s="18" t="s">
        <v>145</v>
      </c>
      <c r="S46" s="30">
        <v>25</v>
      </c>
      <c r="T46" s="30">
        <v>30</v>
      </c>
      <c r="U46" s="30">
        <v>22</v>
      </c>
      <c r="V46" s="30">
        <v>24</v>
      </c>
      <c r="W46" s="30">
        <v>22</v>
      </c>
      <c r="X46" s="30">
        <v>22</v>
      </c>
      <c r="Y46" s="30">
        <v>25</v>
      </c>
      <c r="Z46" s="30" t="s">
        <v>41</v>
      </c>
      <c r="AA46" s="30">
        <v>26</v>
      </c>
      <c r="AB46" s="30">
        <v>20</v>
      </c>
      <c r="AC46" s="30">
        <v>20</v>
      </c>
    </row>
    <row r="47" spans="2:29">
      <c r="B47" s="18" t="s">
        <v>96</v>
      </c>
      <c r="C47" s="2" cm="1">
        <f t="array" ref="C47">SUM(--($J13:$J42&lt;=C13:C42))</f>
        <v>22</v>
      </c>
      <c r="D47" s="2" cm="1">
        <f t="array" ref="D47">SUM(--($J13:$J42&lt;=D13:D42))</f>
        <v>5</v>
      </c>
      <c r="E47" s="2" cm="1">
        <f t="array" ref="E47">SUM(--($J13:$J42&lt;=E13:E42))</f>
        <v>13</v>
      </c>
      <c r="F47" s="2" cm="1">
        <f t="array" ref="F47">SUM(--($J13:$J42&lt;=F13:F42))</f>
        <v>9</v>
      </c>
      <c r="G47" s="2" cm="1">
        <f t="array" ref="G47">SUM(--($J13:$J42&lt;=G13:G42))</f>
        <v>15</v>
      </c>
      <c r="H47" s="2" cm="1">
        <f t="array" ref="H47">SUM(--($J13:$J42&lt;=H13:H42))</f>
        <v>12</v>
      </c>
      <c r="I47" s="2" cm="1">
        <f t="array" ref="I47">SUM(--($J13:$J42&lt;=I13:I42))</f>
        <v>9</v>
      </c>
      <c r="J47" s="2" t="s">
        <v>97</v>
      </c>
      <c r="K47" s="2" cm="1">
        <f t="array" ref="K47">SUM(--($J13:$J42&lt;=K13:K42))</f>
        <v>5</v>
      </c>
      <c r="L47" s="2" cm="1">
        <f t="array" ref="L47">SUM(--($J13:$J42&lt;=L13:L42))</f>
        <v>13</v>
      </c>
      <c r="M47" s="2" cm="1">
        <f t="array" ref="M47">SUM(--($J13:$J42&lt;=M13:M42))</f>
        <v>17</v>
      </c>
      <c r="R47" s="18" t="s">
        <v>146</v>
      </c>
      <c r="S47" s="30">
        <v>22</v>
      </c>
      <c r="T47" s="30">
        <v>5</v>
      </c>
      <c r="U47" s="30">
        <v>14</v>
      </c>
      <c r="V47" s="30">
        <v>10</v>
      </c>
      <c r="W47" s="30">
        <v>15</v>
      </c>
      <c r="X47" s="30">
        <v>12</v>
      </c>
      <c r="Y47" s="30">
        <v>9</v>
      </c>
      <c r="Z47" s="30" t="s">
        <v>41</v>
      </c>
      <c r="AA47" s="30">
        <v>5</v>
      </c>
      <c r="AB47" s="30">
        <v>13</v>
      </c>
      <c r="AC47" s="30">
        <v>17</v>
      </c>
    </row>
    <row r="48" spans="2:29"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</row>
    <row r="50" spans="3:10">
      <c r="C50" s="2">
        <f>RANK(C13,$C13:$J13)</f>
        <v>5</v>
      </c>
      <c r="D50" s="2">
        <f t="shared" ref="D50:J50" si="3">RANK(D13,$C13:$J13)</f>
        <v>8</v>
      </c>
      <c r="E50" s="2">
        <f t="shared" si="3"/>
        <v>3</v>
      </c>
      <c r="F50" s="2">
        <f t="shared" si="3"/>
        <v>4</v>
      </c>
      <c r="G50" s="2">
        <f t="shared" si="3"/>
        <v>7</v>
      </c>
      <c r="H50" s="2">
        <f t="shared" si="3"/>
        <v>2</v>
      </c>
      <c r="I50" s="2">
        <f t="shared" si="3"/>
        <v>5</v>
      </c>
      <c r="J50" s="2">
        <f t="shared" si="3"/>
        <v>1</v>
      </c>
    </row>
    <row r="51" spans="3:10">
      <c r="C51" s="2">
        <f t="shared" ref="C51:J79" si="4">RANK(C14,$C14:$J14)</f>
        <v>3</v>
      </c>
      <c r="D51" s="2">
        <f t="shared" si="4"/>
        <v>7</v>
      </c>
      <c r="E51" s="2">
        <f t="shared" si="4"/>
        <v>5</v>
      </c>
      <c r="F51" s="2">
        <f t="shared" si="4"/>
        <v>2</v>
      </c>
      <c r="G51" s="2">
        <f t="shared" si="4"/>
        <v>1</v>
      </c>
      <c r="H51" s="2">
        <f t="shared" si="4"/>
        <v>6</v>
      </c>
      <c r="I51" s="2">
        <f t="shared" si="4"/>
        <v>8</v>
      </c>
      <c r="J51" s="2">
        <f t="shared" si="4"/>
        <v>4</v>
      </c>
    </row>
    <row r="52" spans="3:10">
      <c r="C52" s="2">
        <f t="shared" si="4"/>
        <v>2</v>
      </c>
      <c r="D52" s="2">
        <f t="shared" si="4"/>
        <v>6</v>
      </c>
      <c r="E52" s="2">
        <f t="shared" si="4"/>
        <v>4</v>
      </c>
      <c r="F52" s="2">
        <f t="shared" si="4"/>
        <v>7</v>
      </c>
      <c r="G52" s="2">
        <f t="shared" si="4"/>
        <v>3</v>
      </c>
      <c r="H52" s="2">
        <f t="shared" si="4"/>
        <v>8</v>
      </c>
      <c r="I52" s="2">
        <f t="shared" si="4"/>
        <v>5</v>
      </c>
      <c r="J52" s="2">
        <f t="shared" si="4"/>
        <v>1</v>
      </c>
    </row>
    <row r="53" spans="3:10">
      <c r="C53" s="2">
        <f t="shared" si="4"/>
        <v>1</v>
      </c>
      <c r="D53" s="2">
        <f t="shared" si="4"/>
        <v>7</v>
      </c>
      <c r="E53" s="2">
        <f t="shared" si="4"/>
        <v>5</v>
      </c>
      <c r="F53" s="2">
        <f t="shared" si="4"/>
        <v>5</v>
      </c>
      <c r="G53" s="2">
        <f t="shared" si="4"/>
        <v>3</v>
      </c>
      <c r="H53" s="2">
        <f t="shared" si="4"/>
        <v>1</v>
      </c>
      <c r="I53" s="2">
        <f t="shared" si="4"/>
        <v>8</v>
      </c>
      <c r="J53" s="2">
        <f t="shared" si="4"/>
        <v>3</v>
      </c>
    </row>
    <row r="54" spans="3:10">
      <c r="C54" s="2">
        <f t="shared" si="4"/>
        <v>3</v>
      </c>
      <c r="D54" s="2">
        <f t="shared" si="4"/>
        <v>7</v>
      </c>
      <c r="E54" s="2">
        <f t="shared" si="4"/>
        <v>3</v>
      </c>
      <c r="F54" s="2">
        <f t="shared" si="4"/>
        <v>3</v>
      </c>
      <c r="G54" s="2">
        <f t="shared" si="4"/>
        <v>7</v>
      </c>
      <c r="H54" s="2">
        <f t="shared" si="4"/>
        <v>1</v>
      </c>
      <c r="I54" s="2">
        <f t="shared" si="4"/>
        <v>1</v>
      </c>
      <c r="J54" s="2">
        <f t="shared" si="4"/>
        <v>3</v>
      </c>
    </row>
    <row r="55" spans="3:10">
      <c r="C55" s="2">
        <f t="shared" si="4"/>
        <v>4</v>
      </c>
      <c r="D55" s="2">
        <f t="shared" si="4"/>
        <v>7</v>
      </c>
      <c r="E55" s="2">
        <f t="shared" si="4"/>
        <v>3</v>
      </c>
      <c r="F55" s="2">
        <f t="shared" si="4"/>
        <v>1</v>
      </c>
      <c r="G55" s="2">
        <f t="shared" si="4"/>
        <v>8</v>
      </c>
      <c r="H55" s="2">
        <f t="shared" si="4"/>
        <v>4</v>
      </c>
      <c r="I55" s="2">
        <f t="shared" si="4"/>
        <v>2</v>
      </c>
      <c r="J55" s="2">
        <f t="shared" si="4"/>
        <v>4</v>
      </c>
    </row>
    <row r="56" spans="3:10">
      <c r="C56" s="2">
        <f t="shared" si="4"/>
        <v>3</v>
      </c>
      <c r="D56" s="2">
        <f t="shared" si="4"/>
        <v>7</v>
      </c>
      <c r="E56" s="2">
        <f t="shared" si="4"/>
        <v>4</v>
      </c>
      <c r="F56" s="2">
        <f t="shared" si="4"/>
        <v>1</v>
      </c>
      <c r="G56" s="2">
        <f t="shared" si="4"/>
        <v>5</v>
      </c>
      <c r="H56" s="2">
        <f t="shared" si="4"/>
        <v>6</v>
      </c>
      <c r="I56" s="2">
        <f t="shared" si="4"/>
        <v>8</v>
      </c>
      <c r="J56" s="2">
        <f t="shared" si="4"/>
        <v>2</v>
      </c>
    </row>
    <row r="57" spans="3:10">
      <c r="C57" s="2">
        <f t="shared" si="4"/>
        <v>3</v>
      </c>
      <c r="D57" s="2">
        <f t="shared" si="4"/>
        <v>6</v>
      </c>
      <c r="E57" s="2">
        <f t="shared" si="4"/>
        <v>7</v>
      </c>
      <c r="F57" s="2">
        <f t="shared" si="4"/>
        <v>3</v>
      </c>
      <c r="G57" s="2">
        <f t="shared" si="4"/>
        <v>8</v>
      </c>
      <c r="H57" s="2">
        <f t="shared" si="4"/>
        <v>2</v>
      </c>
      <c r="I57" s="2">
        <f t="shared" si="4"/>
        <v>3</v>
      </c>
      <c r="J57" s="2">
        <f t="shared" si="4"/>
        <v>1</v>
      </c>
    </row>
    <row r="58" spans="3:10">
      <c r="C58" s="2">
        <f t="shared" si="4"/>
        <v>2</v>
      </c>
      <c r="D58" s="2">
        <f t="shared" si="4"/>
        <v>7</v>
      </c>
      <c r="E58" s="2">
        <f t="shared" si="4"/>
        <v>3</v>
      </c>
      <c r="F58" s="2">
        <f t="shared" si="4"/>
        <v>8</v>
      </c>
      <c r="G58" s="2">
        <f t="shared" si="4"/>
        <v>3</v>
      </c>
      <c r="H58" s="2">
        <f t="shared" si="4"/>
        <v>5</v>
      </c>
      <c r="I58" s="2">
        <f t="shared" si="4"/>
        <v>6</v>
      </c>
      <c r="J58" s="2">
        <f t="shared" si="4"/>
        <v>1</v>
      </c>
    </row>
    <row r="59" spans="3:10">
      <c r="C59" s="2">
        <f t="shared" si="4"/>
        <v>3</v>
      </c>
      <c r="D59" s="2">
        <f t="shared" si="4"/>
        <v>5</v>
      </c>
      <c r="E59" s="2">
        <f t="shared" si="4"/>
        <v>4</v>
      </c>
      <c r="F59" s="2">
        <f t="shared" si="4"/>
        <v>7</v>
      </c>
      <c r="G59" s="2">
        <f t="shared" si="4"/>
        <v>1</v>
      </c>
      <c r="H59" s="2">
        <f t="shared" si="4"/>
        <v>6</v>
      </c>
      <c r="I59" s="2">
        <f t="shared" si="4"/>
        <v>8</v>
      </c>
      <c r="J59" s="2">
        <f t="shared" si="4"/>
        <v>2</v>
      </c>
    </row>
    <row r="60" spans="3:10">
      <c r="C60" s="2">
        <f t="shared" si="4"/>
        <v>1</v>
      </c>
      <c r="D60" s="2">
        <f t="shared" si="4"/>
        <v>4</v>
      </c>
      <c r="E60" s="2">
        <f t="shared" si="4"/>
        <v>5</v>
      </c>
      <c r="F60" s="2">
        <f t="shared" si="4"/>
        <v>5</v>
      </c>
      <c r="G60" s="2">
        <f t="shared" si="4"/>
        <v>1</v>
      </c>
      <c r="H60" s="2">
        <f t="shared" si="4"/>
        <v>5</v>
      </c>
      <c r="I60" s="2">
        <f t="shared" si="4"/>
        <v>8</v>
      </c>
      <c r="J60" s="2">
        <f t="shared" si="4"/>
        <v>1</v>
      </c>
    </row>
    <row r="61" spans="3:10">
      <c r="C61" s="2">
        <f t="shared" si="4"/>
        <v>1</v>
      </c>
      <c r="D61" s="2">
        <f t="shared" si="4"/>
        <v>8</v>
      </c>
      <c r="E61" s="2">
        <f t="shared" si="4"/>
        <v>5</v>
      </c>
      <c r="F61" s="2">
        <f t="shared" si="4"/>
        <v>2</v>
      </c>
      <c r="G61" s="2">
        <f t="shared" si="4"/>
        <v>5</v>
      </c>
      <c r="H61" s="2">
        <f t="shared" si="4"/>
        <v>2</v>
      </c>
      <c r="I61" s="2">
        <f t="shared" si="4"/>
        <v>2</v>
      </c>
      <c r="J61" s="2">
        <f t="shared" si="4"/>
        <v>5</v>
      </c>
    </row>
    <row r="62" spans="3:10">
      <c r="C62" s="2">
        <f t="shared" si="4"/>
        <v>1</v>
      </c>
      <c r="D62" s="2">
        <f t="shared" si="4"/>
        <v>1</v>
      </c>
      <c r="E62" s="2">
        <f t="shared" si="4"/>
        <v>1</v>
      </c>
      <c r="F62" s="2">
        <f t="shared" si="4"/>
        <v>1</v>
      </c>
      <c r="G62" s="2">
        <f t="shared" si="4"/>
        <v>1</v>
      </c>
      <c r="H62" s="2">
        <f t="shared" si="4"/>
        <v>1</v>
      </c>
      <c r="I62" s="2">
        <f t="shared" si="4"/>
        <v>1</v>
      </c>
      <c r="J62" s="2">
        <f t="shared" si="4"/>
        <v>1</v>
      </c>
    </row>
    <row r="63" spans="3:10">
      <c r="C63" s="2">
        <f t="shared" si="4"/>
        <v>3</v>
      </c>
      <c r="D63" s="2">
        <f t="shared" si="4"/>
        <v>6</v>
      </c>
      <c r="E63" s="2">
        <f t="shared" si="4"/>
        <v>5</v>
      </c>
      <c r="F63" s="2">
        <f t="shared" si="4"/>
        <v>8</v>
      </c>
      <c r="G63" s="2">
        <f t="shared" si="4"/>
        <v>1</v>
      </c>
      <c r="H63" s="2">
        <f t="shared" si="4"/>
        <v>7</v>
      </c>
      <c r="I63" s="2">
        <f t="shared" si="4"/>
        <v>3</v>
      </c>
      <c r="J63" s="2">
        <f t="shared" si="4"/>
        <v>2</v>
      </c>
    </row>
    <row r="64" spans="3:10">
      <c r="C64" s="2">
        <f t="shared" si="4"/>
        <v>1</v>
      </c>
      <c r="D64" s="2">
        <f t="shared" si="4"/>
        <v>1</v>
      </c>
      <c r="E64" s="2">
        <f t="shared" si="4"/>
        <v>1</v>
      </c>
      <c r="F64" s="2">
        <f t="shared" si="4"/>
        <v>8</v>
      </c>
      <c r="G64" s="2">
        <f t="shared" si="4"/>
        <v>1</v>
      </c>
      <c r="H64" s="2">
        <f t="shared" si="4"/>
        <v>1</v>
      </c>
      <c r="I64" s="2">
        <f t="shared" si="4"/>
        <v>1</v>
      </c>
      <c r="J64" s="2">
        <f t="shared" si="4"/>
        <v>1</v>
      </c>
    </row>
    <row r="65" spans="3:10">
      <c r="C65" s="2">
        <f t="shared" si="4"/>
        <v>5</v>
      </c>
      <c r="D65" s="2">
        <f t="shared" si="4"/>
        <v>7</v>
      </c>
      <c r="E65" s="2">
        <f t="shared" si="4"/>
        <v>3</v>
      </c>
      <c r="F65" s="2">
        <f t="shared" si="4"/>
        <v>8</v>
      </c>
      <c r="G65" s="2">
        <f t="shared" si="4"/>
        <v>4</v>
      </c>
      <c r="H65" s="2">
        <f t="shared" si="4"/>
        <v>2</v>
      </c>
      <c r="I65" s="2">
        <f t="shared" si="4"/>
        <v>1</v>
      </c>
      <c r="J65" s="2">
        <f t="shared" si="4"/>
        <v>5</v>
      </c>
    </row>
    <row r="66" spans="3:10">
      <c r="C66" s="2">
        <f t="shared" si="4"/>
        <v>1</v>
      </c>
      <c r="D66" s="2">
        <f t="shared" si="4"/>
        <v>6</v>
      </c>
      <c r="E66" s="2">
        <f t="shared" si="4"/>
        <v>2</v>
      </c>
      <c r="F66" s="2">
        <f t="shared" si="4"/>
        <v>7</v>
      </c>
      <c r="G66" s="2">
        <f t="shared" si="4"/>
        <v>4</v>
      </c>
      <c r="H66" s="2">
        <f t="shared" si="4"/>
        <v>2</v>
      </c>
      <c r="I66" s="2">
        <f t="shared" si="4"/>
        <v>8</v>
      </c>
      <c r="J66" s="2">
        <f t="shared" si="4"/>
        <v>4</v>
      </c>
    </row>
    <row r="67" spans="3:10">
      <c r="C67" s="2">
        <f t="shared" si="4"/>
        <v>2</v>
      </c>
      <c r="D67" s="2">
        <f t="shared" si="4"/>
        <v>6</v>
      </c>
      <c r="E67" s="2">
        <f t="shared" si="4"/>
        <v>7</v>
      </c>
      <c r="F67" s="2">
        <f t="shared" si="4"/>
        <v>8</v>
      </c>
      <c r="G67" s="2">
        <f t="shared" si="4"/>
        <v>2</v>
      </c>
      <c r="H67" s="2">
        <f t="shared" si="4"/>
        <v>1</v>
      </c>
      <c r="I67" s="2">
        <f t="shared" si="4"/>
        <v>2</v>
      </c>
      <c r="J67" s="2">
        <f t="shared" si="4"/>
        <v>2</v>
      </c>
    </row>
    <row r="68" spans="3:10">
      <c r="C68" s="2">
        <f t="shared" si="4"/>
        <v>4</v>
      </c>
      <c r="D68" s="2">
        <f t="shared" si="4"/>
        <v>8</v>
      </c>
      <c r="E68" s="2">
        <f t="shared" si="4"/>
        <v>3</v>
      </c>
      <c r="F68" s="2">
        <f t="shared" si="4"/>
        <v>1</v>
      </c>
      <c r="G68" s="2">
        <f t="shared" si="4"/>
        <v>2</v>
      </c>
      <c r="H68" s="2">
        <f t="shared" si="4"/>
        <v>7</v>
      </c>
      <c r="I68" s="2">
        <f t="shared" si="4"/>
        <v>6</v>
      </c>
      <c r="J68" s="2">
        <f t="shared" si="4"/>
        <v>4</v>
      </c>
    </row>
    <row r="69" spans="3:10">
      <c r="C69" s="2">
        <f t="shared" si="4"/>
        <v>1</v>
      </c>
      <c r="D69" s="2">
        <f t="shared" si="4"/>
        <v>7</v>
      </c>
      <c r="E69" s="2">
        <f t="shared" si="4"/>
        <v>6</v>
      </c>
      <c r="F69" s="2">
        <f t="shared" si="4"/>
        <v>3</v>
      </c>
      <c r="G69" s="2">
        <f t="shared" si="4"/>
        <v>7</v>
      </c>
      <c r="H69" s="2">
        <f t="shared" si="4"/>
        <v>5</v>
      </c>
      <c r="I69" s="2">
        <f t="shared" si="4"/>
        <v>4</v>
      </c>
      <c r="J69" s="2">
        <f t="shared" si="4"/>
        <v>1</v>
      </c>
    </row>
    <row r="70" spans="3:10">
      <c r="C70" s="2">
        <f t="shared" si="4"/>
        <v>1</v>
      </c>
      <c r="D70" s="2">
        <f t="shared" si="4"/>
        <v>6</v>
      </c>
      <c r="E70" s="2">
        <f t="shared" si="4"/>
        <v>3</v>
      </c>
      <c r="F70" s="2">
        <f t="shared" si="4"/>
        <v>3</v>
      </c>
      <c r="G70" s="2">
        <f t="shared" si="4"/>
        <v>3</v>
      </c>
      <c r="H70" s="2">
        <f t="shared" si="4"/>
        <v>7</v>
      </c>
      <c r="I70" s="2">
        <f t="shared" si="4"/>
        <v>8</v>
      </c>
      <c r="J70" s="2">
        <f t="shared" si="4"/>
        <v>2</v>
      </c>
    </row>
    <row r="71" spans="3:10">
      <c r="C71" s="2">
        <f t="shared" si="4"/>
        <v>3</v>
      </c>
      <c r="D71" s="2">
        <f t="shared" si="4"/>
        <v>7</v>
      </c>
      <c r="E71" s="2">
        <f t="shared" si="4"/>
        <v>5</v>
      </c>
      <c r="F71" s="2">
        <f t="shared" si="4"/>
        <v>8</v>
      </c>
      <c r="G71" s="2">
        <f t="shared" si="4"/>
        <v>6</v>
      </c>
      <c r="H71" s="2">
        <f t="shared" si="4"/>
        <v>2</v>
      </c>
      <c r="I71" s="2">
        <f t="shared" si="4"/>
        <v>1</v>
      </c>
      <c r="J71" s="2">
        <f t="shared" si="4"/>
        <v>3</v>
      </c>
    </row>
    <row r="72" spans="3:10">
      <c r="C72" s="2">
        <f t="shared" si="4"/>
        <v>2</v>
      </c>
      <c r="D72" s="2">
        <f t="shared" si="4"/>
        <v>1</v>
      </c>
      <c r="E72" s="2">
        <f t="shared" si="4"/>
        <v>5</v>
      </c>
      <c r="F72" s="2">
        <f t="shared" si="4"/>
        <v>8</v>
      </c>
      <c r="G72" s="2">
        <f t="shared" si="4"/>
        <v>4</v>
      </c>
      <c r="H72" s="2">
        <f t="shared" si="4"/>
        <v>6</v>
      </c>
      <c r="I72" s="2">
        <f t="shared" si="4"/>
        <v>6</v>
      </c>
      <c r="J72" s="2">
        <f t="shared" si="4"/>
        <v>2</v>
      </c>
    </row>
    <row r="73" spans="3:10">
      <c r="C73" s="2">
        <f t="shared" si="4"/>
        <v>2</v>
      </c>
      <c r="D73" s="2">
        <f t="shared" si="4"/>
        <v>6</v>
      </c>
      <c r="E73" s="2">
        <f t="shared" si="4"/>
        <v>1</v>
      </c>
      <c r="F73" s="2">
        <f t="shared" si="4"/>
        <v>7</v>
      </c>
      <c r="G73" s="2">
        <f t="shared" si="4"/>
        <v>4</v>
      </c>
      <c r="H73" s="2">
        <f t="shared" si="4"/>
        <v>5</v>
      </c>
      <c r="I73" s="2">
        <f t="shared" si="4"/>
        <v>8</v>
      </c>
      <c r="J73" s="2">
        <f t="shared" si="4"/>
        <v>3</v>
      </c>
    </row>
    <row r="74" spans="3:10">
      <c r="C74" s="2">
        <f t="shared" si="4"/>
        <v>5</v>
      </c>
      <c r="D74" s="2">
        <f t="shared" si="4"/>
        <v>5</v>
      </c>
      <c r="E74" s="2">
        <f t="shared" si="4"/>
        <v>1</v>
      </c>
      <c r="F74" s="2">
        <f t="shared" si="4"/>
        <v>1</v>
      </c>
      <c r="G74" s="2">
        <f t="shared" si="4"/>
        <v>5</v>
      </c>
      <c r="H74" s="2">
        <f t="shared" si="4"/>
        <v>4</v>
      </c>
      <c r="I74" s="2">
        <f t="shared" si="4"/>
        <v>5</v>
      </c>
      <c r="J74" s="2">
        <f t="shared" si="4"/>
        <v>3</v>
      </c>
    </row>
    <row r="75" spans="3:10">
      <c r="C75" s="2">
        <f t="shared" si="4"/>
        <v>1</v>
      </c>
      <c r="D75" s="2">
        <f t="shared" si="4"/>
        <v>8</v>
      </c>
      <c r="E75" s="2">
        <f t="shared" si="4"/>
        <v>1</v>
      </c>
      <c r="F75" s="2">
        <f t="shared" si="4"/>
        <v>7</v>
      </c>
      <c r="G75" s="2">
        <f t="shared" si="4"/>
        <v>1</v>
      </c>
      <c r="H75" s="2">
        <f t="shared" si="4"/>
        <v>1</v>
      </c>
      <c r="I75" s="2">
        <f t="shared" si="4"/>
        <v>1</v>
      </c>
      <c r="J75" s="2">
        <f t="shared" si="4"/>
        <v>1</v>
      </c>
    </row>
    <row r="76" spans="3:10">
      <c r="C76" s="2">
        <f t="shared" si="4"/>
        <v>4</v>
      </c>
      <c r="D76" s="2">
        <f t="shared" si="4"/>
        <v>5</v>
      </c>
      <c r="E76" s="2">
        <f t="shared" si="4"/>
        <v>2</v>
      </c>
      <c r="F76" s="2">
        <f t="shared" si="4"/>
        <v>6</v>
      </c>
      <c r="G76" s="2">
        <f t="shared" si="4"/>
        <v>1</v>
      </c>
      <c r="H76" s="2">
        <f t="shared" si="4"/>
        <v>7</v>
      </c>
      <c r="I76" s="2">
        <f t="shared" si="4"/>
        <v>8</v>
      </c>
      <c r="J76" s="2">
        <f t="shared" si="4"/>
        <v>3</v>
      </c>
    </row>
    <row r="77" spans="3:10">
      <c r="C77" s="2">
        <f t="shared" si="4"/>
        <v>5</v>
      </c>
      <c r="D77" s="2">
        <f t="shared" si="4"/>
        <v>4</v>
      </c>
      <c r="E77" s="2">
        <f t="shared" si="4"/>
        <v>3</v>
      </c>
      <c r="F77" s="2">
        <f t="shared" si="4"/>
        <v>8</v>
      </c>
      <c r="G77" s="2">
        <f t="shared" si="4"/>
        <v>1</v>
      </c>
      <c r="H77" s="2">
        <f t="shared" si="4"/>
        <v>6</v>
      </c>
      <c r="I77" s="2">
        <f t="shared" si="4"/>
        <v>7</v>
      </c>
      <c r="J77" s="2">
        <f t="shared" si="4"/>
        <v>2</v>
      </c>
    </row>
    <row r="78" spans="3:10">
      <c r="C78" s="2">
        <f t="shared" si="4"/>
        <v>3</v>
      </c>
      <c r="D78" s="2">
        <f t="shared" si="4"/>
        <v>7</v>
      </c>
      <c r="E78" s="2">
        <f t="shared" si="4"/>
        <v>2</v>
      </c>
      <c r="F78" s="2">
        <f t="shared" si="4"/>
        <v>5</v>
      </c>
      <c r="G78" s="2">
        <f t="shared" si="4"/>
        <v>5</v>
      </c>
      <c r="H78" s="2">
        <f t="shared" si="4"/>
        <v>1</v>
      </c>
      <c r="I78" s="2">
        <f t="shared" si="4"/>
        <v>8</v>
      </c>
      <c r="J78" s="2">
        <f t="shared" si="4"/>
        <v>3</v>
      </c>
    </row>
    <row r="79" spans="3:10">
      <c r="C79" s="2">
        <f t="shared" si="4"/>
        <v>1</v>
      </c>
      <c r="D79" s="2">
        <f t="shared" si="4"/>
        <v>8</v>
      </c>
      <c r="E79" s="2">
        <f t="shared" si="4"/>
        <v>4</v>
      </c>
      <c r="F79" s="2">
        <f t="shared" si="4"/>
        <v>2</v>
      </c>
      <c r="G79" s="2">
        <f t="shared" si="4"/>
        <v>4</v>
      </c>
      <c r="H79" s="2">
        <f t="shared" si="4"/>
        <v>4</v>
      </c>
      <c r="I79" s="2">
        <f t="shared" si="4"/>
        <v>4</v>
      </c>
      <c r="J79" s="2">
        <f t="shared" si="4"/>
        <v>2</v>
      </c>
    </row>
    <row r="80" spans="3:10">
      <c r="C80" s="3">
        <f>AVERAGE(C49:C79)</f>
        <v>2.5333333333333332</v>
      </c>
      <c r="D80" s="3">
        <f t="shared" ref="D80" si="5">AVERAGE(D49:D79)</f>
        <v>5.9333333333333336</v>
      </c>
      <c r="E80" s="3">
        <f t="shared" ref="E80" si="6">AVERAGE(E49:E79)</f>
        <v>3.5333333333333332</v>
      </c>
      <c r="F80" s="3">
        <f t="shared" ref="F80" si="7">AVERAGE(F49:F79)</f>
        <v>4.9000000000000004</v>
      </c>
      <c r="G80" s="3">
        <f t="shared" ref="G80" si="8">AVERAGE(G49:G79)</f>
        <v>3.6</v>
      </c>
      <c r="H80" s="3">
        <f t="shared" ref="H80" si="9">AVERAGE(H49:H79)</f>
        <v>3.9</v>
      </c>
      <c r="I80" s="3">
        <f t="shared" ref="I80" si="10">AVERAGE(I49:I79)</f>
        <v>4.8666666666666663</v>
      </c>
      <c r="J80" s="3">
        <f t="shared" ref="J80" si="11">AVERAGE(J49:J79)</f>
        <v>2.4</v>
      </c>
    </row>
    <row r="81" spans="3:10">
      <c r="C81" s="2"/>
      <c r="D81" s="2"/>
      <c r="E81" s="2"/>
      <c r="F81" s="2"/>
      <c r="G81" s="2"/>
      <c r="H81" s="2"/>
      <c r="I81" s="2"/>
      <c r="J81" s="2"/>
    </row>
    <row r="82" spans="3:10">
      <c r="C82" s="3"/>
      <c r="D82" s="3"/>
      <c r="E82" s="3"/>
      <c r="F82" s="3"/>
      <c r="G82" s="3"/>
      <c r="H82" s="3"/>
      <c r="I82" s="3"/>
      <c r="J82" s="3"/>
    </row>
  </sheetData>
  <mergeCells count="6">
    <mergeCell ref="V3:Y3"/>
    <mergeCell ref="S2:Z2"/>
    <mergeCell ref="AA2:AC2"/>
    <mergeCell ref="K2:M2"/>
    <mergeCell ref="F3:I3"/>
    <mergeCell ref="C2:J2"/>
  </mergeCells>
  <phoneticPr fontId="2" type="noConversion"/>
  <conditionalFormatting sqref="B45">
    <cfRule type="colorScale" priority="140">
      <colorScale>
        <cfvo type="min"/>
        <cfvo type="max"/>
        <color theme="8"/>
        <color theme="0"/>
      </colorScale>
    </cfRule>
  </conditionalFormatting>
  <conditionalFormatting sqref="C13:J13">
    <cfRule type="colorScale" priority="2">
      <colorScale>
        <cfvo type="min"/>
        <cfvo type="max"/>
        <color rgb="FFFCFCFF"/>
        <color rgb="FF63BE7B"/>
      </colorScale>
    </cfRule>
  </conditionalFormatting>
  <conditionalFormatting sqref="C14:J14">
    <cfRule type="colorScale" priority="3">
      <colorScale>
        <cfvo type="min"/>
        <cfvo type="max"/>
        <color rgb="FFFCFCFF"/>
        <color rgb="FF63BE7B"/>
      </colorScale>
    </cfRule>
  </conditionalFormatting>
  <conditionalFormatting sqref="C15:J15">
    <cfRule type="colorScale" priority="5">
      <colorScale>
        <cfvo type="min"/>
        <cfvo type="max"/>
        <color rgb="FFFCFCFF"/>
        <color rgb="FF63BE7B"/>
      </colorScale>
    </cfRule>
  </conditionalFormatting>
  <conditionalFormatting sqref="C16:J16">
    <cfRule type="colorScale" priority="4">
      <colorScale>
        <cfvo type="min"/>
        <cfvo type="max"/>
        <color rgb="FFFCFCFF"/>
        <color rgb="FF63BE7B"/>
      </colorScale>
    </cfRule>
  </conditionalFormatting>
  <conditionalFormatting sqref="C17:J17">
    <cfRule type="colorScale" priority="6">
      <colorScale>
        <cfvo type="min"/>
        <cfvo type="max"/>
        <color rgb="FFFCFCFF"/>
        <color rgb="FF63BE7B"/>
      </colorScale>
    </cfRule>
  </conditionalFormatting>
  <conditionalFormatting sqref="C18:J18">
    <cfRule type="colorScale" priority="7">
      <colorScale>
        <cfvo type="min"/>
        <cfvo type="max"/>
        <color rgb="FFFCFCFF"/>
        <color rgb="FF63BE7B"/>
      </colorScale>
    </cfRule>
  </conditionalFormatting>
  <conditionalFormatting sqref="C19:J19">
    <cfRule type="colorScale" priority="8">
      <colorScale>
        <cfvo type="min"/>
        <cfvo type="max"/>
        <color rgb="FFFCFCFF"/>
        <color rgb="FF63BE7B"/>
      </colorScale>
    </cfRule>
  </conditionalFormatting>
  <conditionalFormatting sqref="C20:J20">
    <cfRule type="colorScale" priority="9">
      <colorScale>
        <cfvo type="min"/>
        <cfvo type="max"/>
        <color rgb="FFFCFCFF"/>
        <color rgb="FF63BE7B"/>
      </colorScale>
    </cfRule>
  </conditionalFormatting>
  <conditionalFormatting sqref="C21:J21">
    <cfRule type="colorScale" priority="10">
      <colorScale>
        <cfvo type="min"/>
        <cfvo type="max"/>
        <color rgb="FFFCFCFF"/>
        <color rgb="FF63BE7B"/>
      </colorScale>
    </cfRule>
  </conditionalFormatting>
  <conditionalFormatting sqref="C22:J22">
    <cfRule type="colorScale" priority="11">
      <colorScale>
        <cfvo type="min"/>
        <cfvo type="max"/>
        <color rgb="FFFCFCFF"/>
        <color rgb="FF63BE7B"/>
      </colorScale>
    </cfRule>
  </conditionalFormatting>
  <conditionalFormatting sqref="C23:J23">
    <cfRule type="colorScale" priority="12">
      <colorScale>
        <cfvo type="min"/>
        <cfvo type="max"/>
        <color rgb="FFFCFCFF"/>
        <color rgb="FF63BE7B"/>
      </colorScale>
    </cfRule>
  </conditionalFormatting>
  <conditionalFormatting sqref="C24:J24">
    <cfRule type="colorScale" priority="13">
      <colorScale>
        <cfvo type="min"/>
        <cfvo type="max"/>
        <color rgb="FFFCFCFF"/>
        <color rgb="FF63BE7B"/>
      </colorScale>
    </cfRule>
  </conditionalFormatting>
  <conditionalFormatting sqref="C25:J25">
    <cfRule type="colorScale" priority="14">
      <colorScale>
        <cfvo type="min"/>
        <cfvo type="max"/>
        <color rgb="FFFCFCFF"/>
        <color rgb="FF63BE7B"/>
      </colorScale>
    </cfRule>
  </conditionalFormatting>
  <conditionalFormatting sqref="C26:J26">
    <cfRule type="colorScale" priority="15">
      <colorScale>
        <cfvo type="min"/>
        <cfvo type="max"/>
        <color rgb="FFFCFCFF"/>
        <color rgb="FF63BE7B"/>
      </colorScale>
    </cfRule>
  </conditionalFormatting>
  <conditionalFormatting sqref="C27:J27">
    <cfRule type="colorScale" priority="16">
      <colorScale>
        <cfvo type="min"/>
        <cfvo type="max"/>
        <color rgb="FFFCFCFF"/>
        <color rgb="FF63BE7B"/>
      </colorScale>
    </cfRule>
  </conditionalFormatting>
  <conditionalFormatting sqref="C28:J28">
    <cfRule type="colorScale" priority="17">
      <colorScale>
        <cfvo type="min"/>
        <cfvo type="max"/>
        <color rgb="FFFCFCFF"/>
        <color rgb="FF63BE7B"/>
      </colorScale>
    </cfRule>
  </conditionalFormatting>
  <conditionalFormatting sqref="C29:J29">
    <cfRule type="colorScale" priority="18">
      <colorScale>
        <cfvo type="min"/>
        <cfvo type="max"/>
        <color rgb="FFFCFCFF"/>
        <color rgb="FF63BE7B"/>
      </colorScale>
    </cfRule>
  </conditionalFormatting>
  <conditionalFormatting sqref="C30:J30">
    <cfRule type="colorScale" priority="19">
      <colorScale>
        <cfvo type="min"/>
        <cfvo type="max"/>
        <color rgb="FFFCFCFF"/>
        <color rgb="FF63BE7B"/>
      </colorScale>
    </cfRule>
  </conditionalFormatting>
  <conditionalFormatting sqref="C31:J31">
    <cfRule type="colorScale" priority="20">
      <colorScale>
        <cfvo type="min"/>
        <cfvo type="max"/>
        <color rgb="FFFCFCFF"/>
        <color rgb="FF63BE7B"/>
      </colorScale>
    </cfRule>
  </conditionalFormatting>
  <conditionalFormatting sqref="C32:J32">
    <cfRule type="colorScale" priority="21">
      <colorScale>
        <cfvo type="min"/>
        <cfvo type="max"/>
        <color rgb="FFFCFCFF"/>
        <color rgb="FF63BE7B"/>
      </colorScale>
    </cfRule>
  </conditionalFormatting>
  <conditionalFormatting sqref="C33:J33">
    <cfRule type="colorScale" priority="22">
      <colorScale>
        <cfvo type="min"/>
        <cfvo type="max"/>
        <color rgb="FFFCFCFF"/>
        <color rgb="FF63BE7B"/>
      </colorScale>
    </cfRule>
  </conditionalFormatting>
  <conditionalFormatting sqref="C34:J34">
    <cfRule type="colorScale" priority="23">
      <colorScale>
        <cfvo type="min"/>
        <cfvo type="max"/>
        <color rgb="FFFCFCFF"/>
        <color rgb="FF63BE7B"/>
      </colorScale>
    </cfRule>
  </conditionalFormatting>
  <conditionalFormatting sqref="C35:J35">
    <cfRule type="colorScale" priority="24">
      <colorScale>
        <cfvo type="min"/>
        <cfvo type="max"/>
        <color rgb="FFFCFCFF"/>
        <color rgb="FF63BE7B"/>
      </colorScale>
    </cfRule>
  </conditionalFormatting>
  <conditionalFormatting sqref="C36:J36">
    <cfRule type="colorScale" priority="25">
      <colorScale>
        <cfvo type="min"/>
        <cfvo type="max"/>
        <color rgb="FFFCFCFF"/>
        <color rgb="FF63BE7B"/>
      </colorScale>
    </cfRule>
  </conditionalFormatting>
  <conditionalFormatting sqref="C37:J37">
    <cfRule type="colorScale" priority="26">
      <colorScale>
        <cfvo type="min"/>
        <cfvo type="max"/>
        <color rgb="FFFCFCFF"/>
        <color rgb="FF63BE7B"/>
      </colorScale>
    </cfRule>
  </conditionalFormatting>
  <conditionalFormatting sqref="C38:J38">
    <cfRule type="colorScale" priority="27">
      <colorScale>
        <cfvo type="min"/>
        <cfvo type="max"/>
        <color rgb="FFFCFCFF"/>
        <color rgb="FF63BE7B"/>
      </colorScale>
    </cfRule>
  </conditionalFormatting>
  <conditionalFormatting sqref="C39:J39">
    <cfRule type="colorScale" priority="28">
      <colorScale>
        <cfvo type="min"/>
        <cfvo type="max"/>
        <color rgb="FFFCFCFF"/>
        <color rgb="FF63BE7B"/>
      </colorScale>
    </cfRule>
  </conditionalFormatting>
  <conditionalFormatting sqref="C40:J40">
    <cfRule type="colorScale" priority="29">
      <colorScale>
        <cfvo type="min"/>
        <cfvo type="max"/>
        <color rgb="FFFCFCFF"/>
        <color rgb="FF63BE7B"/>
      </colorScale>
    </cfRule>
  </conditionalFormatting>
  <conditionalFormatting sqref="C41:J41">
    <cfRule type="colorScale" priority="30">
      <colorScale>
        <cfvo type="min"/>
        <cfvo type="max"/>
        <color rgb="FFFCFCFF"/>
        <color rgb="FF63BE7B"/>
      </colorScale>
    </cfRule>
  </conditionalFormatting>
  <conditionalFormatting sqref="C42:J42">
    <cfRule type="colorScale" priority="31">
      <colorScale>
        <cfvo type="min"/>
        <cfvo type="max"/>
        <color rgb="FFFCFCFF"/>
        <color rgb="FF63BE7B"/>
      </colorScale>
    </cfRule>
  </conditionalFormatting>
  <conditionalFormatting sqref="C43:J43">
    <cfRule type="colorScale" priority="32">
      <colorScale>
        <cfvo type="min"/>
        <cfvo type="max"/>
        <color rgb="FFFCFCFF"/>
        <color rgb="FF63BE7B"/>
      </colorScale>
    </cfRule>
  </conditionalFormatting>
  <conditionalFormatting sqref="C44:J44">
    <cfRule type="colorScale" priority="33">
      <colorScale>
        <cfvo type="min"/>
        <cfvo type="max"/>
        <color rgb="FFFCFCFF"/>
        <color rgb="FF63BE7B"/>
      </colorScale>
    </cfRule>
  </conditionalFormatting>
  <conditionalFormatting sqref="C45:J45">
    <cfRule type="colorScale" priority="34">
      <colorScale>
        <cfvo type="min"/>
        <cfvo type="max"/>
        <color rgb="FF63BE7B"/>
        <color rgb="FFFCFCFF"/>
      </colorScale>
    </cfRule>
  </conditionalFormatting>
  <conditionalFormatting sqref="C50:J79 C81:J8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8:M48">
    <cfRule type="colorScale" priority="270">
      <colorScale>
        <cfvo type="min"/>
        <cfvo type="max"/>
        <color rgb="FFFCFCFF"/>
        <color rgb="FF63BE7B"/>
      </colorScale>
    </cfRule>
  </conditionalFormatting>
  <conditionalFormatting sqref="R45">
    <cfRule type="colorScale" priority="101">
      <colorScale>
        <cfvo type="min"/>
        <cfvo type="max"/>
        <color theme="8"/>
        <color theme="0"/>
      </colorScale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Summary</vt:lpstr>
      <vt:lpstr>Full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anonymambasl@gmail.com</dc:creator>
  <cp:keywords/>
  <dc:description/>
  <cp:lastModifiedBy>pamela7384@gmail.com</cp:lastModifiedBy>
  <dcterms:created xsi:type="dcterms:W3CDTF">2025-08-24T20:16:17Z</dcterms:created>
  <dcterms:modified xsi:type="dcterms:W3CDTF">2026-02-25T10:27:07Z</dcterms:modified>
  <cp:category/>
</cp:coreProperties>
</file>