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yoom618/Library/Mobile Documents/com~apple~CloudDocs/00-Paper/06-TSC/논문 작성/_table/"/>
    </mc:Choice>
  </mc:AlternateContent>
  <xr:revisionPtr revIDLastSave="0" documentId="13_ncr:1_{362C1622-5ECE-CD43-8A5A-B15FDD5C9E16}" xr6:coauthVersionLast="47" xr6:coauthVersionMax="47" xr10:uidLastSave="{00000000-0000-0000-0000-000000000000}"/>
  <bookViews>
    <workbookView xWindow="15120" yWindow="760" windowWidth="15120" windowHeight="18880" xr2:uid="{BC76D622-9BC0-A344-B0B3-54E11F39A12E}"/>
  </bookViews>
  <sheets>
    <sheet name="UEA30 (colored)" sheetId="5" r:id="rId1"/>
    <sheet name="UEA30" sheetId="3" r:id="rId2"/>
    <sheet name="UEA30 (2)" sheetId="8" r:id="rId3"/>
    <sheet name="UEA descriptio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8" l="1"/>
  <c r="A84" i="8"/>
  <c r="A83" i="8"/>
  <c r="A82" i="8"/>
  <c r="A81" i="8"/>
  <c r="C80" i="8"/>
  <c r="A80" i="8"/>
  <c r="A79" i="8"/>
  <c r="R78" i="8"/>
  <c r="A78" i="8"/>
  <c r="A77" i="8"/>
  <c r="A76" i="8"/>
  <c r="A75" i="8"/>
  <c r="R74" i="8"/>
  <c r="P74" i="8"/>
  <c r="A74" i="8"/>
  <c r="Q73" i="8"/>
  <c r="A73" i="8"/>
  <c r="A72" i="8"/>
  <c r="A71" i="8"/>
  <c r="F70" i="8"/>
  <c r="A70" i="8"/>
  <c r="A69" i="8"/>
  <c r="A68" i="8"/>
  <c r="C67" i="8"/>
  <c r="A67" i="8"/>
  <c r="A66" i="8"/>
  <c r="A65" i="8"/>
  <c r="A64" i="8"/>
  <c r="A63" i="8"/>
  <c r="T62" i="8"/>
  <c r="A62" i="8"/>
  <c r="A61" i="8"/>
  <c r="A60" i="8"/>
  <c r="R59" i="8"/>
  <c r="A59" i="8"/>
  <c r="A58" i="8"/>
  <c r="A57" i="8"/>
  <c r="L56" i="8"/>
  <c r="A56" i="8"/>
  <c r="A55" i="8"/>
  <c r="A54" i="8"/>
  <c r="A53" i="8"/>
  <c r="A52" i="8"/>
  <c r="A51" i="8"/>
  <c r="A50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V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V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V36" i="8"/>
  <c r="V80" i="8" s="1"/>
  <c r="U36" i="8"/>
  <c r="T36" i="8"/>
  <c r="S36" i="8"/>
  <c r="R36" i="8"/>
  <c r="Q36" i="8"/>
  <c r="P36" i="8"/>
  <c r="O36" i="8"/>
  <c r="N36" i="8"/>
  <c r="M36" i="8"/>
  <c r="L36" i="8"/>
  <c r="L80" i="8" s="1"/>
  <c r="K36" i="8"/>
  <c r="J36" i="8"/>
  <c r="I36" i="8"/>
  <c r="H36" i="8"/>
  <c r="G36" i="8"/>
  <c r="F36" i="8"/>
  <c r="E36" i="8"/>
  <c r="D36" i="8"/>
  <c r="C36" i="8"/>
  <c r="D80" i="8" s="1"/>
  <c r="B36" i="8"/>
  <c r="B80" i="8" s="1"/>
  <c r="V35" i="8"/>
  <c r="U35" i="8"/>
  <c r="T35" i="8"/>
  <c r="S35" i="8"/>
  <c r="R35" i="8"/>
  <c r="Q35" i="8"/>
  <c r="P35" i="8"/>
  <c r="O35" i="8"/>
  <c r="N35" i="8"/>
  <c r="M35" i="8"/>
  <c r="M79" i="8" s="1"/>
  <c r="L35" i="8"/>
  <c r="K35" i="8"/>
  <c r="J35" i="8"/>
  <c r="I35" i="8"/>
  <c r="H35" i="8"/>
  <c r="G35" i="8"/>
  <c r="F35" i="8"/>
  <c r="E35" i="8"/>
  <c r="D35" i="8"/>
  <c r="C35" i="8"/>
  <c r="C79" i="8" s="1"/>
  <c r="B35" i="8"/>
  <c r="V34" i="8"/>
  <c r="U34" i="8"/>
  <c r="T34" i="8"/>
  <c r="S34" i="8"/>
  <c r="R34" i="8"/>
  <c r="Q34" i="8"/>
  <c r="P34" i="8"/>
  <c r="O34" i="8"/>
  <c r="N34" i="8"/>
  <c r="N78" i="8" s="1"/>
  <c r="M34" i="8"/>
  <c r="L34" i="8"/>
  <c r="K34" i="8"/>
  <c r="J34" i="8"/>
  <c r="I34" i="8"/>
  <c r="H34" i="8"/>
  <c r="G34" i="8"/>
  <c r="F34" i="8"/>
  <c r="E34" i="8"/>
  <c r="D34" i="8"/>
  <c r="D78" i="8" s="1"/>
  <c r="C34" i="8"/>
  <c r="B34" i="8"/>
  <c r="V33" i="8"/>
  <c r="U33" i="8"/>
  <c r="T33" i="8"/>
  <c r="S33" i="8"/>
  <c r="R33" i="8"/>
  <c r="Q33" i="8"/>
  <c r="P33" i="8"/>
  <c r="O33" i="8"/>
  <c r="O77" i="8" s="1"/>
  <c r="N33" i="8"/>
  <c r="M33" i="8"/>
  <c r="L33" i="8"/>
  <c r="K33" i="8"/>
  <c r="J33" i="8"/>
  <c r="I33" i="8"/>
  <c r="H33" i="8"/>
  <c r="G33" i="8"/>
  <c r="F33" i="8"/>
  <c r="E33" i="8"/>
  <c r="E77" i="8" s="1"/>
  <c r="D33" i="8"/>
  <c r="C33" i="8"/>
  <c r="B33" i="8"/>
  <c r="V32" i="8"/>
  <c r="U32" i="8"/>
  <c r="T32" i="8"/>
  <c r="S32" i="8"/>
  <c r="R32" i="8"/>
  <c r="Q32" i="8"/>
  <c r="P32" i="8"/>
  <c r="P76" i="8" s="1"/>
  <c r="O32" i="8"/>
  <c r="N32" i="8"/>
  <c r="M32" i="8"/>
  <c r="L32" i="8"/>
  <c r="K32" i="8"/>
  <c r="J32" i="8"/>
  <c r="I32" i="8"/>
  <c r="H32" i="8"/>
  <c r="G32" i="8"/>
  <c r="F32" i="8"/>
  <c r="F76" i="8" s="1"/>
  <c r="E32" i="8"/>
  <c r="D32" i="8"/>
  <c r="C32" i="8"/>
  <c r="B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I74" i="8" s="1"/>
  <c r="H30" i="8"/>
  <c r="G30" i="8"/>
  <c r="F30" i="8"/>
  <c r="E30" i="8"/>
  <c r="D30" i="8"/>
  <c r="C30" i="8"/>
  <c r="B30" i="8"/>
  <c r="V29" i="8"/>
  <c r="U29" i="8"/>
  <c r="T29" i="8"/>
  <c r="S29" i="8"/>
  <c r="S73" i="8" s="1"/>
  <c r="R29" i="8"/>
  <c r="Q29" i="8"/>
  <c r="P29" i="8"/>
  <c r="O29" i="8"/>
  <c r="N29" i="8"/>
  <c r="M29" i="8"/>
  <c r="L29" i="8"/>
  <c r="K29" i="8"/>
  <c r="J29" i="8"/>
  <c r="J73" i="8" s="1"/>
  <c r="I29" i="8"/>
  <c r="I73" i="8" s="1"/>
  <c r="H29" i="8"/>
  <c r="G29" i="8"/>
  <c r="F29" i="8"/>
  <c r="E29" i="8"/>
  <c r="D29" i="8"/>
  <c r="C29" i="8"/>
  <c r="B29" i="8"/>
  <c r="V28" i="8"/>
  <c r="U28" i="8"/>
  <c r="T28" i="8"/>
  <c r="S28" i="8"/>
  <c r="R28" i="8"/>
  <c r="Q28" i="8"/>
  <c r="P28" i="8"/>
  <c r="O28" i="8"/>
  <c r="N28" i="8"/>
  <c r="M28" i="8"/>
  <c r="L28" i="8"/>
  <c r="K28" i="8"/>
  <c r="K72" i="8" s="1"/>
  <c r="J28" i="8"/>
  <c r="I28" i="8"/>
  <c r="H28" i="8"/>
  <c r="G28" i="8"/>
  <c r="F28" i="8"/>
  <c r="E28" i="8"/>
  <c r="D28" i="8"/>
  <c r="C28" i="8"/>
  <c r="B28" i="8"/>
  <c r="V27" i="8"/>
  <c r="U27" i="8"/>
  <c r="T27" i="8"/>
  <c r="S27" i="8"/>
  <c r="R27" i="8"/>
  <c r="Q27" i="8"/>
  <c r="P27" i="8"/>
  <c r="O27" i="8"/>
  <c r="N27" i="8"/>
  <c r="M27" i="8"/>
  <c r="L27" i="8"/>
  <c r="L71" i="8" s="1"/>
  <c r="K27" i="8"/>
  <c r="J27" i="8"/>
  <c r="I27" i="8"/>
  <c r="H27" i="8"/>
  <c r="G27" i="8"/>
  <c r="F27" i="8"/>
  <c r="E27" i="8"/>
  <c r="D27" i="8"/>
  <c r="C27" i="8"/>
  <c r="B27" i="8"/>
  <c r="K71" i="8" s="1"/>
  <c r="V26" i="8"/>
  <c r="V70" i="8" s="1"/>
  <c r="U26" i="8"/>
  <c r="T26" i="8"/>
  <c r="S26" i="8"/>
  <c r="R26" i="8"/>
  <c r="Q26" i="8"/>
  <c r="P26" i="8"/>
  <c r="O26" i="8"/>
  <c r="N26" i="8"/>
  <c r="M26" i="8"/>
  <c r="L26" i="8"/>
  <c r="L70" i="8" s="1"/>
  <c r="K26" i="8"/>
  <c r="J26" i="8"/>
  <c r="I26" i="8"/>
  <c r="H26" i="8"/>
  <c r="G26" i="8"/>
  <c r="F26" i="8"/>
  <c r="E26" i="8"/>
  <c r="D26" i="8"/>
  <c r="C26" i="8"/>
  <c r="C70" i="8" s="1"/>
  <c r="B26" i="8"/>
  <c r="B70" i="8" s="1"/>
  <c r="V25" i="8"/>
  <c r="U25" i="8"/>
  <c r="T25" i="8"/>
  <c r="S25" i="8"/>
  <c r="R25" i="8"/>
  <c r="Q25" i="8"/>
  <c r="P25" i="8"/>
  <c r="O25" i="8"/>
  <c r="N25" i="8"/>
  <c r="M25" i="8"/>
  <c r="M69" i="8" s="1"/>
  <c r="L25" i="8"/>
  <c r="K25" i="8"/>
  <c r="J25" i="8"/>
  <c r="I25" i="8"/>
  <c r="H25" i="8"/>
  <c r="G25" i="8"/>
  <c r="F25" i="8"/>
  <c r="E25" i="8"/>
  <c r="D25" i="8"/>
  <c r="C25" i="8"/>
  <c r="C69" i="8" s="1"/>
  <c r="B25" i="8"/>
  <c r="V24" i="8"/>
  <c r="U24" i="8"/>
  <c r="T24" i="8"/>
  <c r="S24" i="8"/>
  <c r="R24" i="8"/>
  <c r="Q24" i="8"/>
  <c r="P24" i="8"/>
  <c r="O24" i="8"/>
  <c r="N24" i="8"/>
  <c r="N68" i="8" s="1"/>
  <c r="M24" i="8"/>
  <c r="L24" i="8"/>
  <c r="K24" i="8"/>
  <c r="J24" i="8"/>
  <c r="I24" i="8"/>
  <c r="H24" i="8"/>
  <c r="G24" i="8"/>
  <c r="F24" i="8"/>
  <c r="E24" i="8"/>
  <c r="G68" i="8" s="1"/>
  <c r="D24" i="8"/>
  <c r="D68" i="8" s="1"/>
  <c r="C24" i="8"/>
  <c r="B24" i="8"/>
  <c r="V23" i="8"/>
  <c r="U23" i="8"/>
  <c r="T23" i="8"/>
  <c r="S23" i="8"/>
  <c r="R23" i="8"/>
  <c r="Q23" i="8"/>
  <c r="P23" i="8"/>
  <c r="O23" i="8"/>
  <c r="O67" i="8" s="1"/>
  <c r="N23" i="8"/>
  <c r="M23" i="8"/>
  <c r="L23" i="8"/>
  <c r="K23" i="8"/>
  <c r="J23" i="8"/>
  <c r="I23" i="8"/>
  <c r="H23" i="8"/>
  <c r="G23" i="8"/>
  <c r="F23" i="8"/>
  <c r="B67" i="8" s="1"/>
  <c r="E23" i="8"/>
  <c r="E67" i="8" s="1"/>
  <c r="D23" i="8"/>
  <c r="C23" i="8"/>
  <c r="B23" i="8"/>
  <c r="V22" i="8"/>
  <c r="U22" i="8"/>
  <c r="T22" i="8"/>
  <c r="S22" i="8"/>
  <c r="R22" i="8"/>
  <c r="Q22" i="8"/>
  <c r="P22" i="8"/>
  <c r="P66" i="8" s="1"/>
  <c r="O22" i="8"/>
  <c r="N22" i="8"/>
  <c r="M22" i="8"/>
  <c r="L22" i="8"/>
  <c r="K22" i="8"/>
  <c r="J22" i="8"/>
  <c r="I22" i="8"/>
  <c r="H22" i="8"/>
  <c r="G22" i="8"/>
  <c r="F22" i="8"/>
  <c r="F66" i="8" s="1"/>
  <c r="E22" i="8"/>
  <c r="D22" i="8"/>
  <c r="C22" i="8"/>
  <c r="B22" i="8"/>
  <c r="V21" i="8"/>
  <c r="U21" i="8"/>
  <c r="T21" i="8"/>
  <c r="S21" i="8"/>
  <c r="R21" i="8"/>
  <c r="R65" i="8" s="1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I64" i="8" s="1"/>
  <c r="H20" i="8"/>
  <c r="G20" i="8"/>
  <c r="F20" i="8"/>
  <c r="E20" i="8"/>
  <c r="D20" i="8"/>
  <c r="C20" i="8"/>
  <c r="B20" i="8"/>
  <c r="V19" i="8"/>
  <c r="U19" i="8"/>
  <c r="T19" i="8"/>
  <c r="S19" i="8"/>
  <c r="S63" i="8" s="1"/>
  <c r="R19" i="8"/>
  <c r="Q19" i="8"/>
  <c r="P19" i="8"/>
  <c r="O19" i="8"/>
  <c r="N19" i="8"/>
  <c r="M19" i="8"/>
  <c r="L19" i="8"/>
  <c r="K19" i="8"/>
  <c r="J19" i="8"/>
  <c r="J63" i="8" s="1"/>
  <c r="I19" i="8"/>
  <c r="I63" i="8" s="1"/>
  <c r="H19" i="8"/>
  <c r="G19" i="8"/>
  <c r="F19" i="8"/>
  <c r="E19" i="8"/>
  <c r="D19" i="8"/>
  <c r="C19" i="8"/>
  <c r="B19" i="8"/>
  <c r="V18" i="8"/>
  <c r="U18" i="8"/>
  <c r="T18" i="8"/>
  <c r="S18" i="8"/>
  <c r="R18" i="8"/>
  <c r="Q18" i="8"/>
  <c r="P18" i="8"/>
  <c r="O18" i="8"/>
  <c r="N18" i="8"/>
  <c r="M18" i="8"/>
  <c r="L18" i="8"/>
  <c r="K18" i="8"/>
  <c r="K62" i="8" s="1"/>
  <c r="J18" i="8"/>
  <c r="I18" i="8"/>
  <c r="H18" i="8"/>
  <c r="G18" i="8"/>
  <c r="F18" i="8"/>
  <c r="E18" i="8"/>
  <c r="D18" i="8"/>
  <c r="C18" i="8"/>
  <c r="B18" i="8"/>
  <c r="V17" i="8"/>
  <c r="V61" i="8" s="1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V16" i="8"/>
  <c r="V60" i="8" s="1"/>
  <c r="U16" i="8"/>
  <c r="T16" i="8"/>
  <c r="S16" i="8"/>
  <c r="R16" i="8"/>
  <c r="Q16" i="8"/>
  <c r="P16" i="8"/>
  <c r="O16" i="8"/>
  <c r="N16" i="8"/>
  <c r="M16" i="8"/>
  <c r="M60" i="8" s="1"/>
  <c r="L16" i="8"/>
  <c r="L60" i="8" s="1"/>
  <c r="K16" i="8"/>
  <c r="J16" i="8"/>
  <c r="I16" i="8"/>
  <c r="H16" i="8"/>
  <c r="G16" i="8"/>
  <c r="F16" i="8"/>
  <c r="E16" i="8"/>
  <c r="D16" i="8"/>
  <c r="C16" i="8"/>
  <c r="C60" i="8" s="1"/>
  <c r="B16" i="8"/>
  <c r="B60" i="8" s="1"/>
  <c r="V15" i="8"/>
  <c r="U15" i="8"/>
  <c r="T15" i="8"/>
  <c r="S15" i="8"/>
  <c r="R15" i="8"/>
  <c r="Q15" i="8"/>
  <c r="P15" i="8"/>
  <c r="O15" i="8"/>
  <c r="N15" i="8"/>
  <c r="M15" i="8"/>
  <c r="M59" i="8" s="1"/>
  <c r="L15" i="8"/>
  <c r="K15" i="8"/>
  <c r="J15" i="8"/>
  <c r="I15" i="8"/>
  <c r="H15" i="8"/>
  <c r="G15" i="8"/>
  <c r="F15" i="8"/>
  <c r="E15" i="8"/>
  <c r="D15" i="8"/>
  <c r="P59" i="8" s="1"/>
  <c r="C15" i="8"/>
  <c r="C59" i="8" s="1"/>
  <c r="B15" i="8"/>
  <c r="V14" i="8"/>
  <c r="U14" i="8"/>
  <c r="T14" i="8"/>
  <c r="S14" i="8"/>
  <c r="R14" i="8"/>
  <c r="R58" i="8" s="1"/>
  <c r="Q14" i="8"/>
  <c r="P14" i="8"/>
  <c r="O14" i="8"/>
  <c r="O58" i="8" s="1"/>
  <c r="N14" i="8"/>
  <c r="N58" i="8" s="1"/>
  <c r="M14" i="8"/>
  <c r="L14" i="8"/>
  <c r="K14" i="8"/>
  <c r="J14" i="8"/>
  <c r="I14" i="8"/>
  <c r="H14" i="8"/>
  <c r="G14" i="8"/>
  <c r="F14" i="8"/>
  <c r="E14" i="8"/>
  <c r="D14" i="8"/>
  <c r="D58" i="8" s="1"/>
  <c r="C14" i="8"/>
  <c r="B14" i="8"/>
  <c r="V13" i="8"/>
  <c r="U13" i="8"/>
  <c r="T13" i="8"/>
  <c r="S13" i="8"/>
  <c r="R13" i="8"/>
  <c r="Q13" i="8"/>
  <c r="P13" i="8"/>
  <c r="P57" i="8" s="1"/>
  <c r="O13" i="8"/>
  <c r="O57" i="8" s="1"/>
  <c r="N13" i="8"/>
  <c r="M13" i="8"/>
  <c r="L13" i="8"/>
  <c r="K13" i="8"/>
  <c r="J13" i="8"/>
  <c r="I13" i="8"/>
  <c r="H13" i="8"/>
  <c r="G13" i="8"/>
  <c r="F13" i="8"/>
  <c r="M57" i="8" s="1"/>
  <c r="E13" i="8"/>
  <c r="E57" i="8" s="1"/>
  <c r="D13" i="8"/>
  <c r="C13" i="8"/>
  <c r="B13" i="8"/>
  <c r="V12" i="8"/>
  <c r="U12" i="8"/>
  <c r="T12" i="8"/>
  <c r="S12" i="8"/>
  <c r="R12" i="8"/>
  <c r="Q12" i="8"/>
  <c r="P12" i="8"/>
  <c r="P56" i="8" s="1"/>
  <c r="O12" i="8"/>
  <c r="N12" i="8"/>
  <c r="M12" i="8"/>
  <c r="L12" i="8"/>
  <c r="K12" i="8"/>
  <c r="J12" i="8"/>
  <c r="I12" i="8"/>
  <c r="H12" i="8"/>
  <c r="G12" i="8"/>
  <c r="N56" i="8" s="1"/>
  <c r="F12" i="8"/>
  <c r="F56" i="8" s="1"/>
  <c r="E12" i="8"/>
  <c r="D12" i="8"/>
  <c r="C12" i="8"/>
  <c r="B12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M55" i="8" s="1"/>
  <c r="G11" i="8"/>
  <c r="F11" i="8"/>
  <c r="E11" i="8"/>
  <c r="D11" i="8"/>
  <c r="C11" i="8"/>
  <c r="B11" i="8"/>
  <c r="V10" i="8"/>
  <c r="U10" i="8"/>
  <c r="T10" i="8"/>
  <c r="S10" i="8"/>
  <c r="S54" i="8" s="1"/>
  <c r="R10" i="8"/>
  <c r="Q10" i="8"/>
  <c r="P10" i="8"/>
  <c r="O10" i="8"/>
  <c r="N10" i="8"/>
  <c r="M10" i="8"/>
  <c r="L10" i="8"/>
  <c r="K10" i="8"/>
  <c r="J10" i="8"/>
  <c r="I10" i="8"/>
  <c r="I54" i="8" s="1"/>
  <c r="H10" i="8"/>
  <c r="G10" i="8"/>
  <c r="F10" i="8"/>
  <c r="E10" i="8"/>
  <c r="D10" i="8"/>
  <c r="C10" i="8"/>
  <c r="B10" i="8"/>
  <c r="H54" i="8" s="1"/>
  <c r="V9" i="8"/>
  <c r="U9" i="8"/>
  <c r="T9" i="8"/>
  <c r="S9" i="8"/>
  <c r="S53" i="8" s="1"/>
  <c r="R9" i="8"/>
  <c r="Q9" i="8"/>
  <c r="P9" i="8"/>
  <c r="O9" i="8"/>
  <c r="N9" i="8"/>
  <c r="M9" i="8"/>
  <c r="L9" i="8"/>
  <c r="K9" i="8"/>
  <c r="J9" i="8"/>
  <c r="J53" i="8" s="1"/>
  <c r="I9" i="8"/>
  <c r="I53" i="8" s="1"/>
  <c r="H9" i="8"/>
  <c r="G9" i="8"/>
  <c r="F9" i="8"/>
  <c r="E9" i="8"/>
  <c r="D9" i="8"/>
  <c r="C9" i="8"/>
  <c r="B9" i="8"/>
  <c r="V8" i="8"/>
  <c r="U8" i="8"/>
  <c r="U52" i="8" s="1"/>
  <c r="T8" i="8"/>
  <c r="S8" i="8"/>
  <c r="R8" i="8"/>
  <c r="Q8" i="8"/>
  <c r="P8" i="8"/>
  <c r="O8" i="8"/>
  <c r="N8" i="8"/>
  <c r="M8" i="8"/>
  <c r="L8" i="8"/>
  <c r="K8" i="8"/>
  <c r="K52" i="8" s="1"/>
  <c r="J8" i="8"/>
  <c r="I8" i="8"/>
  <c r="H8" i="8"/>
  <c r="G8" i="8"/>
  <c r="F8" i="8"/>
  <c r="E8" i="8"/>
  <c r="D8" i="8"/>
  <c r="C8" i="8"/>
  <c r="B8" i="8"/>
  <c r="V7" i="8"/>
  <c r="U7" i="8"/>
  <c r="T7" i="8"/>
  <c r="S7" i="8"/>
  <c r="R7" i="8"/>
  <c r="Q7" i="8"/>
  <c r="P7" i="8"/>
  <c r="O7" i="8"/>
  <c r="N7" i="8"/>
  <c r="M7" i="8"/>
  <c r="L7" i="8"/>
  <c r="L51" i="8" s="1"/>
  <c r="K7" i="8"/>
  <c r="J7" i="8"/>
  <c r="I7" i="8"/>
  <c r="H7" i="8"/>
  <c r="G7" i="8"/>
  <c r="F7" i="8"/>
  <c r="E7" i="8"/>
  <c r="E51" i="8" s="1"/>
  <c r="D7" i="8"/>
  <c r="C7" i="8"/>
  <c r="B7" i="8"/>
  <c r="V6" i="8"/>
  <c r="V50" i="8" s="1"/>
  <c r="U6" i="8"/>
  <c r="T6" i="8"/>
  <c r="S6" i="8"/>
  <c r="R6" i="8"/>
  <c r="Q6" i="8"/>
  <c r="P6" i="8"/>
  <c r="O6" i="8"/>
  <c r="N6" i="8"/>
  <c r="M6" i="8"/>
  <c r="M50" i="8" s="1"/>
  <c r="L6" i="8"/>
  <c r="L50" i="8" s="1"/>
  <c r="K6" i="8"/>
  <c r="J6" i="8"/>
  <c r="I6" i="8"/>
  <c r="H6" i="8"/>
  <c r="G6" i="8"/>
  <c r="F6" i="8"/>
  <c r="E6" i="8"/>
  <c r="D6" i="8"/>
  <c r="C6" i="8"/>
  <c r="G50" i="8" s="1"/>
  <c r="B6" i="8"/>
  <c r="B50" i="8" s="1"/>
  <c r="C42" i="5" a="1"/>
  <c r="C42" i="5" s="1"/>
  <c r="C42" i="3" s="1"/>
  <c r="D42" i="5" a="1"/>
  <c r="D42" i="5"/>
  <c r="D42" i="3" s="1"/>
  <c r="E42" i="5" a="1"/>
  <c r="E42" i="5" s="1"/>
  <c r="E42" i="3" s="1"/>
  <c r="F42" i="5" a="1"/>
  <c r="F42" i="5"/>
  <c r="F42" i="3" s="1"/>
  <c r="G42" i="5" a="1"/>
  <c r="G42" i="5" s="1"/>
  <c r="G42" i="3" s="1"/>
  <c r="H42" i="5" a="1"/>
  <c r="H42" i="5" s="1"/>
  <c r="H42" i="3" s="1"/>
  <c r="I42" i="5" a="1"/>
  <c r="I42" i="5"/>
  <c r="I42" i="3" s="1"/>
  <c r="J42" i="5" a="1"/>
  <c r="J42" i="5" s="1"/>
  <c r="J42" i="3" s="1"/>
  <c r="K42" i="5" a="1"/>
  <c r="K42" i="5" s="1"/>
  <c r="K42" i="3" s="1"/>
  <c r="L42" i="5" a="1"/>
  <c r="L42" i="5"/>
  <c r="L42" i="3" s="1"/>
  <c r="M42" i="5" a="1"/>
  <c r="M42" i="5" s="1"/>
  <c r="M42" i="3" s="1"/>
  <c r="N42" i="5" a="1"/>
  <c r="N42" i="5"/>
  <c r="O42" i="5" a="1"/>
  <c r="O42" i="5" s="1"/>
  <c r="O42" i="3" s="1"/>
  <c r="P42" i="5" a="1"/>
  <c r="P42" i="5"/>
  <c r="P42" i="3" s="1"/>
  <c r="Q42" i="5" a="1"/>
  <c r="Q42" i="5"/>
  <c r="Q42" i="3" s="1"/>
  <c r="R42" i="5" a="1"/>
  <c r="R42" i="5" s="1"/>
  <c r="R42" i="3" s="1"/>
  <c r="S42" i="5" a="1"/>
  <c r="S42" i="5"/>
  <c r="S42" i="3" s="1"/>
  <c r="T42" i="5" a="1"/>
  <c r="T42" i="5" s="1"/>
  <c r="T42" i="3" s="1"/>
  <c r="U42" i="5" a="1"/>
  <c r="U42" i="5"/>
  <c r="C43" i="5" a="1"/>
  <c r="C43" i="5"/>
  <c r="D43" i="5" a="1"/>
  <c r="D43" i="5" s="1"/>
  <c r="D43" i="3" s="1"/>
  <c r="E43" i="5" a="1"/>
  <c r="E43" i="5"/>
  <c r="E43" i="3" s="1"/>
  <c r="F43" i="5" a="1"/>
  <c r="F43" i="5" s="1"/>
  <c r="F43" i="3" s="1"/>
  <c r="G43" i="5" a="1"/>
  <c r="G43" i="5"/>
  <c r="G43" i="3" s="1"/>
  <c r="H43" i="5" a="1"/>
  <c r="H43" i="5"/>
  <c r="H43" i="3" s="1"/>
  <c r="I43" i="5" a="1"/>
  <c r="I43" i="5" s="1"/>
  <c r="I43" i="3" s="1"/>
  <c r="J43" i="5" a="1"/>
  <c r="J43" i="5"/>
  <c r="K43" i="5" a="1"/>
  <c r="K43" i="5" s="1"/>
  <c r="K43" i="3" s="1"/>
  <c r="L43" i="5" a="1"/>
  <c r="L43" i="5"/>
  <c r="M43" i="5" a="1"/>
  <c r="M43" i="5"/>
  <c r="N43" i="5" a="1"/>
  <c r="N43" i="5" s="1"/>
  <c r="N43" i="3" s="1"/>
  <c r="O43" i="5" a="1"/>
  <c r="O43" i="5"/>
  <c r="O43" i="3" s="1"/>
  <c r="P43" i="5" a="1"/>
  <c r="P43" i="5" s="1"/>
  <c r="P43" i="3" s="1"/>
  <c r="Q43" i="5" a="1"/>
  <c r="Q43" i="5" s="1"/>
  <c r="Q43" i="3" s="1"/>
  <c r="R43" i="5" a="1"/>
  <c r="R43" i="5"/>
  <c r="R43" i="3" s="1"/>
  <c r="S43" i="5" a="1"/>
  <c r="S43" i="5" s="1"/>
  <c r="S43" i="3" s="1"/>
  <c r="T43" i="5" a="1"/>
  <c r="T43" i="5"/>
  <c r="U43" i="5" a="1"/>
  <c r="U43" i="5" s="1"/>
  <c r="U43" i="3" s="1"/>
  <c r="B43" i="5" a="1"/>
  <c r="B43" i="5" s="1"/>
  <c r="B43" i="3" s="1"/>
  <c r="B42" i="5" a="1"/>
  <c r="B42" i="5" s="1"/>
  <c r="B42" i="3" s="1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B6" i="3"/>
  <c r="C6" i="3"/>
  <c r="D6" i="3"/>
  <c r="E6" i="3"/>
  <c r="F6" i="3"/>
  <c r="B50" i="3" s="1"/>
  <c r="G6" i="3"/>
  <c r="H6" i="3"/>
  <c r="I6" i="3"/>
  <c r="J6" i="3"/>
  <c r="K6" i="3"/>
  <c r="L6" i="3"/>
  <c r="M6" i="3"/>
  <c r="N6" i="3"/>
  <c r="O6" i="3"/>
  <c r="P6" i="3"/>
  <c r="Q6" i="3"/>
  <c r="R6" i="3"/>
  <c r="S6" i="3"/>
  <c r="S50" i="3" s="1"/>
  <c r="T6" i="3"/>
  <c r="U6" i="3"/>
  <c r="V6" i="3"/>
  <c r="B7" i="3"/>
  <c r="C7" i="3"/>
  <c r="D7" i="3"/>
  <c r="E7" i="3"/>
  <c r="F7" i="3"/>
  <c r="F51" i="3" s="1"/>
  <c r="G7" i="3"/>
  <c r="H7" i="3"/>
  <c r="I7" i="3"/>
  <c r="J7" i="3"/>
  <c r="K7" i="3"/>
  <c r="L7" i="3"/>
  <c r="M7" i="3"/>
  <c r="N7" i="3"/>
  <c r="O7" i="3"/>
  <c r="P7" i="3"/>
  <c r="Q7" i="3"/>
  <c r="Q51" i="3" s="1"/>
  <c r="R7" i="3"/>
  <c r="S7" i="3"/>
  <c r="T7" i="3"/>
  <c r="U7" i="3"/>
  <c r="V7" i="3"/>
  <c r="B8" i="3"/>
  <c r="C8" i="3"/>
  <c r="D8" i="3"/>
  <c r="E8" i="3"/>
  <c r="M52" i="3" s="1"/>
  <c r="F8" i="3"/>
  <c r="G8" i="3"/>
  <c r="T52" i="3" s="1"/>
  <c r="H8" i="3"/>
  <c r="I8" i="3"/>
  <c r="J8" i="3"/>
  <c r="K8" i="3"/>
  <c r="L8" i="3"/>
  <c r="M8" i="3"/>
  <c r="N8" i="3"/>
  <c r="O8" i="3"/>
  <c r="P8" i="3"/>
  <c r="P52" i="3" s="1"/>
  <c r="Q8" i="3"/>
  <c r="R8" i="3"/>
  <c r="R52" i="3" s="1"/>
  <c r="S8" i="3"/>
  <c r="T8" i="3"/>
  <c r="U8" i="3"/>
  <c r="V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B14" i="3"/>
  <c r="H58" i="3" s="1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B19" i="3"/>
  <c r="C19" i="3"/>
  <c r="D19" i="3"/>
  <c r="E19" i="3"/>
  <c r="F19" i="3"/>
  <c r="G19" i="3"/>
  <c r="U63" i="3" s="1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B22" i="3"/>
  <c r="C22" i="3"/>
  <c r="D22" i="3"/>
  <c r="B66" i="3" s="1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B30" i="3"/>
  <c r="C30" i="3"/>
  <c r="D30" i="3"/>
  <c r="E30" i="3"/>
  <c r="F30" i="3"/>
  <c r="D74" i="3" s="1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B34" i="3"/>
  <c r="T78" i="3" s="1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N42" i="3"/>
  <c r="U42" i="3"/>
  <c r="V42" i="3"/>
  <c r="C43" i="3"/>
  <c r="J43" i="3"/>
  <c r="L43" i="3"/>
  <c r="M43" i="3"/>
  <c r="T43" i="3"/>
  <c r="V43" i="3"/>
  <c r="V37" i="5"/>
  <c r="V37" i="3" s="1"/>
  <c r="U37" i="5"/>
  <c r="U37" i="3" s="1"/>
  <c r="T37" i="5"/>
  <c r="T37" i="3" s="1"/>
  <c r="S37" i="5"/>
  <c r="S37" i="3" s="1"/>
  <c r="R37" i="5"/>
  <c r="R37" i="3" s="1"/>
  <c r="Q37" i="5"/>
  <c r="Q37" i="3" s="1"/>
  <c r="P37" i="5"/>
  <c r="P37" i="3" s="1"/>
  <c r="O37" i="5"/>
  <c r="O37" i="3" s="1"/>
  <c r="N37" i="5"/>
  <c r="N37" i="3" s="1"/>
  <c r="M37" i="5"/>
  <c r="M37" i="3" s="1"/>
  <c r="L37" i="5"/>
  <c r="L37" i="3" s="1"/>
  <c r="K37" i="5"/>
  <c r="K37" i="3" s="1"/>
  <c r="J37" i="5"/>
  <c r="J37" i="3" s="1"/>
  <c r="I37" i="5"/>
  <c r="I37" i="3" s="1"/>
  <c r="H37" i="5"/>
  <c r="H37" i="3" s="1"/>
  <c r="G37" i="5"/>
  <c r="G37" i="3" s="1"/>
  <c r="F37" i="5"/>
  <c r="F37" i="3" s="1"/>
  <c r="E37" i="5"/>
  <c r="E37" i="3" s="1"/>
  <c r="D37" i="5"/>
  <c r="D37" i="3" s="1"/>
  <c r="C37" i="5"/>
  <c r="C37" i="3" s="1"/>
  <c r="B37" i="5"/>
  <c r="B37" i="3" s="1"/>
  <c r="C36" i="5"/>
  <c r="C36" i="3" s="1"/>
  <c r="D36" i="5"/>
  <c r="D36" i="3" s="1"/>
  <c r="E36" i="5"/>
  <c r="F36" i="5"/>
  <c r="F36" i="3" s="1"/>
  <c r="G36" i="5"/>
  <c r="G36" i="3" s="1"/>
  <c r="H36" i="5"/>
  <c r="H36" i="3" s="1"/>
  <c r="I36" i="5"/>
  <c r="I36" i="3" s="1"/>
  <c r="J36" i="5"/>
  <c r="J36" i="3" s="1"/>
  <c r="K36" i="5"/>
  <c r="L36" i="5"/>
  <c r="L36" i="3" s="1"/>
  <c r="M36" i="5"/>
  <c r="M36" i="3" s="1"/>
  <c r="N36" i="5"/>
  <c r="N36" i="3" s="1"/>
  <c r="O36" i="5"/>
  <c r="O36" i="3" s="1"/>
  <c r="P36" i="5"/>
  <c r="Q36" i="5"/>
  <c r="Q36" i="3" s="1"/>
  <c r="R36" i="5"/>
  <c r="R36" i="3" s="1"/>
  <c r="S36" i="5"/>
  <c r="S36" i="3" s="1"/>
  <c r="T36" i="5"/>
  <c r="U36" i="5"/>
  <c r="V36" i="5"/>
  <c r="V36" i="3" s="1"/>
  <c r="B36" i="5"/>
  <c r="B36" i="3" s="1"/>
  <c r="A85" i="5"/>
  <c r="A84" i="5"/>
  <c r="A83" i="5"/>
  <c r="A82" i="5"/>
  <c r="A81" i="5"/>
  <c r="A80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79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78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76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75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74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73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71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70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69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67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66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63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62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58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57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54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51" i="5"/>
  <c r="V50" i="5"/>
  <c r="U50" i="5"/>
  <c r="T50" i="5"/>
  <c r="S50" i="5"/>
  <c r="R50" i="5"/>
  <c r="Q50" i="5"/>
  <c r="P50" i="5"/>
  <c r="O50" i="5"/>
  <c r="O39" i="5" s="1"/>
  <c r="O39" i="3" s="1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50" i="5"/>
  <c r="A85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50" i="3"/>
  <c r="O39" i="8" l="1"/>
  <c r="U43" i="8"/>
  <c r="U37" i="8"/>
  <c r="C52" i="8"/>
  <c r="I52" i="8"/>
  <c r="V62" i="8"/>
  <c r="G70" i="8"/>
  <c r="H53" i="8"/>
  <c r="U63" i="8"/>
  <c r="C50" i="8"/>
  <c r="P60" i="8"/>
  <c r="B51" i="8"/>
  <c r="U51" i="8"/>
  <c r="N51" i="8"/>
  <c r="K51" i="8"/>
  <c r="T53" i="8"/>
  <c r="H55" i="8"/>
  <c r="Q55" i="8"/>
  <c r="P55" i="8"/>
  <c r="Q56" i="8"/>
  <c r="E58" i="8"/>
  <c r="K58" i="8"/>
  <c r="J58" i="8"/>
  <c r="G58" i="8"/>
  <c r="U58" i="8"/>
  <c r="T58" i="8"/>
  <c r="N59" i="8"/>
  <c r="L61" i="8"/>
  <c r="U62" i="8"/>
  <c r="T63" i="8"/>
  <c r="S64" i="8"/>
  <c r="H65" i="8"/>
  <c r="G65" i="8"/>
  <c r="F65" i="8"/>
  <c r="G66" i="8"/>
  <c r="V66" i="8"/>
  <c r="O66" i="8"/>
  <c r="N66" i="8"/>
  <c r="L66" i="8"/>
  <c r="K66" i="8"/>
  <c r="E66" i="8"/>
  <c r="Q66" i="8"/>
  <c r="F67" i="8"/>
  <c r="V67" i="8"/>
  <c r="M67" i="8"/>
  <c r="L67" i="8"/>
  <c r="J67" i="8"/>
  <c r="P67" i="8"/>
  <c r="E68" i="8"/>
  <c r="U68" i="8"/>
  <c r="T68" i="8"/>
  <c r="Q68" i="8"/>
  <c r="K68" i="8"/>
  <c r="J68" i="8"/>
  <c r="O68" i="8"/>
  <c r="D69" i="8"/>
  <c r="S69" i="8"/>
  <c r="P69" i="8"/>
  <c r="I69" i="8"/>
  <c r="N69" i="8"/>
  <c r="M70" i="8"/>
  <c r="D71" i="8"/>
  <c r="B71" i="8"/>
  <c r="U71" i="8"/>
  <c r="N71" i="8"/>
  <c r="V71" i="8"/>
  <c r="U72" i="8"/>
  <c r="T73" i="8"/>
  <c r="S74" i="8"/>
  <c r="H75" i="8"/>
  <c r="D75" i="8"/>
  <c r="C75" i="8"/>
  <c r="R75" i="8"/>
  <c r="O76" i="8"/>
  <c r="E76" i="8"/>
  <c r="G76" i="8"/>
  <c r="V76" i="8"/>
  <c r="N76" i="8"/>
  <c r="L76" i="8"/>
  <c r="D76" i="8"/>
  <c r="Q76" i="8"/>
  <c r="M77" i="8"/>
  <c r="C77" i="8"/>
  <c r="F77" i="8"/>
  <c r="B77" i="8"/>
  <c r="V77" i="8"/>
  <c r="L77" i="8"/>
  <c r="P77" i="8"/>
  <c r="E78" i="8"/>
  <c r="U78" i="8"/>
  <c r="K78" i="8"/>
  <c r="Q78" i="8"/>
  <c r="J78" i="8"/>
  <c r="G78" i="8"/>
  <c r="T78" i="8"/>
  <c r="O78" i="8"/>
  <c r="D79" i="8"/>
  <c r="S79" i="8"/>
  <c r="I79" i="8"/>
  <c r="P79" i="8"/>
  <c r="F79" i="8"/>
  <c r="N79" i="8"/>
  <c r="M80" i="8"/>
  <c r="B81" i="8"/>
  <c r="U81" i="8"/>
  <c r="N81" i="8"/>
  <c r="K81" i="8"/>
  <c r="D81" i="8"/>
  <c r="L81" i="8"/>
  <c r="V81" i="8"/>
  <c r="D50" i="8"/>
  <c r="L57" i="8"/>
  <c r="Q60" i="8"/>
  <c r="H68" i="8"/>
  <c r="R55" i="8"/>
  <c r="D59" i="8"/>
  <c r="I59" i="8"/>
  <c r="F59" i="8"/>
  <c r="S59" i="8"/>
  <c r="N61" i="8"/>
  <c r="K61" i="8"/>
  <c r="D61" i="8"/>
  <c r="B61" i="8"/>
  <c r="N50" i="8"/>
  <c r="B52" i="8"/>
  <c r="V52" i="8"/>
  <c r="K53" i="8"/>
  <c r="U53" i="8"/>
  <c r="E59" i="8"/>
  <c r="O59" i="8"/>
  <c r="D60" i="8"/>
  <c r="N60" i="8"/>
  <c r="S62" i="8"/>
  <c r="L62" i="8"/>
  <c r="K63" i="8"/>
  <c r="E69" i="8"/>
  <c r="O69" i="8"/>
  <c r="D70" i="8"/>
  <c r="N70" i="8"/>
  <c r="I72" i="8"/>
  <c r="V72" i="8"/>
  <c r="U73" i="8"/>
  <c r="E79" i="8"/>
  <c r="O79" i="8"/>
  <c r="C65" i="8"/>
  <c r="J72" i="8"/>
  <c r="B76" i="8"/>
  <c r="V51" i="8"/>
  <c r="F57" i="8"/>
  <c r="C57" i="8"/>
  <c r="B57" i="8"/>
  <c r="V57" i="8"/>
  <c r="T57" i="8"/>
  <c r="B53" i="8"/>
  <c r="K54" i="8"/>
  <c r="J55" i="8"/>
  <c r="I56" i="8"/>
  <c r="S56" i="8"/>
  <c r="H57" i="8"/>
  <c r="R57" i="8"/>
  <c r="E60" i="8"/>
  <c r="O60" i="8"/>
  <c r="L63" i="8"/>
  <c r="V63" i="8"/>
  <c r="K64" i="8"/>
  <c r="U64" i="8"/>
  <c r="J65" i="8"/>
  <c r="T65" i="8"/>
  <c r="I66" i="8"/>
  <c r="S66" i="8"/>
  <c r="H67" i="8"/>
  <c r="R67" i="8"/>
  <c r="E70" i="8"/>
  <c r="O70" i="8"/>
  <c r="B73" i="8"/>
  <c r="L73" i="8"/>
  <c r="V73" i="8"/>
  <c r="K74" i="8"/>
  <c r="U74" i="8"/>
  <c r="J75" i="8"/>
  <c r="T75" i="8"/>
  <c r="D51" i="8"/>
  <c r="U61" i="8"/>
  <c r="F69" i="8"/>
  <c r="L72" i="8"/>
  <c r="E50" i="8"/>
  <c r="V53" i="8"/>
  <c r="F50" i="8"/>
  <c r="O51" i="8"/>
  <c r="N52" i="8"/>
  <c r="C53" i="8"/>
  <c r="G53" i="8"/>
  <c r="R53" i="8"/>
  <c r="Q53" i="8"/>
  <c r="B54" i="8"/>
  <c r="F54" i="8"/>
  <c r="R54" i="8"/>
  <c r="E54" i="8"/>
  <c r="P54" i="8"/>
  <c r="O54" i="8"/>
  <c r="L54" i="8"/>
  <c r="V54" i="8"/>
  <c r="K55" i="8"/>
  <c r="U55" i="8"/>
  <c r="J56" i="8"/>
  <c r="I57" i="8"/>
  <c r="S57" i="8"/>
  <c r="H58" i="8"/>
  <c r="G59" i="8"/>
  <c r="Q59" i="8"/>
  <c r="F60" i="8"/>
  <c r="E61" i="8"/>
  <c r="O61" i="8"/>
  <c r="D62" i="8"/>
  <c r="C62" i="8"/>
  <c r="N62" i="8"/>
  <c r="H63" i="8"/>
  <c r="B64" i="8"/>
  <c r="R64" i="8"/>
  <c r="P64" i="8"/>
  <c r="O64" i="8"/>
  <c r="H64" i="8"/>
  <c r="F64" i="8"/>
  <c r="E64" i="8"/>
  <c r="L64" i="8"/>
  <c r="K65" i="8"/>
  <c r="I67" i="8"/>
  <c r="S67" i="8"/>
  <c r="R68" i="8"/>
  <c r="P70" i="8"/>
  <c r="E71" i="8"/>
  <c r="O71" i="8"/>
  <c r="G73" i="8"/>
  <c r="E74" i="8"/>
  <c r="I77" i="8"/>
  <c r="S77" i="8"/>
  <c r="H78" i="8"/>
  <c r="F80" i="8"/>
  <c r="P80" i="8"/>
  <c r="Q58" i="8"/>
  <c r="B66" i="8"/>
  <c r="H69" i="8"/>
  <c r="J77" i="8"/>
  <c r="G56" i="8"/>
  <c r="E56" i="8"/>
  <c r="D56" i="8"/>
  <c r="B56" i="8"/>
  <c r="V56" i="8"/>
  <c r="U56" i="8"/>
  <c r="O56" i="8"/>
  <c r="O50" i="8"/>
  <c r="L53" i="8"/>
  <c r="U54" i="8"/>
  <c r="T55" i="8"/>
  <c r="B63" i="8"/>
  <c r="P50" i="8"/>
  <c r="D52" i="8"/>
  <c r="M52" i="8"/>
  <c r="L52" i="8"/>
  <c r="M53" i="8"/>
  <c r="T56" i="8"/>
  <c r="Q50" i="8"/>
  <c r="N55" i="8"/>
  <c r="K56" i="8"/>
  <c r="J57" i="8"/>
  <c r="H59" i="8"/>
  <c r="G60" i="8"/>
  <c r="D65" i="8"/>
  <c r="U66" i="8"/>
  <c r="T67" i="8"/>
  <c r="R69" i="8"/>
  <c r="Q70" i="8"/>
  <c r="K76" i="8"/>
  <c r="U76" i="8"/>
  <c r="T77" i="8"/>
  <c r="H79" i="8"/>
  <c r="R79" i="8"/>
  <c r="G55" i="8"/>
  <c r="D66" i="8"/>
  <c r="K73" i="8"/>
  <c r="C51" i="8"/>
  <c r="M51" i="8"/>
  <c r="J54" i="8"/>
  <c r="T54" i="8"/>
  <c r="I55" i="8"/>
  <c r="S55" i="8"/>
  <c r="H56" i="8"/>
  <c r="R56" i="8"/>
  <c r="G57" i="8"/>
  <c r="Q57" i="8"/>
  <c r="F58" i="8"/>
  <c r="P58" i="8"/>
  <c r="C61" i="8"/>
  <c r="M61" i="8"/>
  <c r="J64" i="8"/>
  <c r="T64" i="8"/>
  <c r="I65" i="8"/>
  <c r="S65" i="8"/>
  <c r="H66" i="8"/>
  <c r="R66" i="8"/>
  <c r="G67" i="8"/>
  <c r="Q67" i="8"/>
  <c r="F68" i="8"/>
  <c r="P68" i="8"/>
  <c r="C71" i="8"/>
  <c r="M71" i="8"/>
  <c r="J74" i="8"/>
  <c r="T74" i="8"/>
  <c r="I75" i="8"/>
  <c r="S75" i="8"/>
  <c r="H76" i="8"/>
  <c r="R76" i="8"/>
  <c r="G77" i="8"/>
  <c r="Q77" i="8"/>
  <c r="F78" i="8"/>
  <c r="P78" i="8"/>
  <c r="N80" i="8"/>
  <c r="C81" i="8"/>
  <c r="M81" i="8"/>
  <c r="J52" i="8"/>
  <c r="M72" i="8"/>
  <c r="R73" i="8"/>
  <c r="I76" i="8"/>
  <c r="S76" i="8"/>
  <c r="H77" i="8"/>
  <c r="R77" i="8"/>
  <c r="E80" i="8"/>
  <c r="O80" i="8"/>
  <c r="B62" i="8"/>
  <c r="G63" i="8"/>
  <c r="S72" i="8"/>
  <c r="T72" i="8"/>
  <c r="O81" i="8"/>
  <c r="P51" i="8"/>
  <c r="N53" i="8"/>
  <c r="C54" i="8"/>
  <c r="M54" i="8"/>
  <c r="B55" i="8"/>
  <c r="L55" i="8"/>
  <c r="I58" i="8"/>
  <c r="S58" i="8"/>
  <c r="F61" i="8"/>
  <c r="P61" i="8"/>
  <c r="E62" i="8"/>
  <c r="O62" i="8"/>
  <c r="D63" i="8"/>
  <c r="N63" i="8"/>
  <c r="C64" i="8"/>
  <c r="M64" i="8"/>
  <c r="B65" i="8"/>
  <c r="L65" i="8"/>
  <c r="V65" i="8"/>
  <c r="I68" i="8"/>
  <c r="S68" i="8"/>
  <c r="F71" i="8"/>
  <c r="P71" i="8"/>
  <c r="E72" i="8"/>
  <c r="O72" i="8"/>
  <c r="D73" i="8"/>
  <c r="N73" i="8"/>
  <c r="C74" i="8"/>
  <c r="M74" i="8"/>
  <c r="B75" i="8"/>
  <c r="Q75" i="8"/>
  <c r="G75" i="8"/>
  <c r="L75" i="8"/>
  <c r="V75" i="8"/>
  <c r="I78" i="8"/>
  <c r="S78" i="8"/>
  <c r="G80" i="8"/>
  <c r="Q80" i="8"/>
  <c r="F81" i="8"/>
  <c r="P81" i="8"/>
  <c r="S52" i="8"/>
  <c r="I62" i="8"/>
  <c r="M65" i="8"/>
  <c r="F75" i="8"/>
  <c r="C63" i="8"/>
  <c r="U65" i="8"/>
  <c r="Q69" i="8"/>
  <c r="M73" i="8"/>
  <c r="L74" i="8"/>
  <c r="U75" i="8"/>
  <c r="Q79" i="8"/>
  <c r="F51" i="8"/>
  <c r="V55" i="8"/>
  <c r="H50" i="8"/>
  <c r="R50" i="8"/>
  <c r="G51" i="8"/>
  <c r="Q51" i="8"/>
  <c r="F52" i="8"/>
  <c r="P52" i="8"/>
  <c r="E53" i="8"/>
  <c r="O53" i="8"/>
  <c r="D54" i="8"/>
  <c r="N54" i="8"/>
  <c r="K57" i="8"/>
  <c r="U57" i="8"/>
  <c r="H60" i="8"/>
  <c r="R60" i="8"/>
  <c r="G61" i="8"/>
  <c r="Q61" i="8"/>
  <c r="F62" i="8"/>
  <c r="P62" i="8"/>
  <c r="E63" i="8"/>
  <c r="O63" i="8"/>
  <c r="D64" i="8"/>
  <c r="N64" i="8"/>
  <c r="K67" i="8"/>
  <c r="U67" i="8"/>
  <c r="H70" i="8"/>
  <c r="R70" i="8"/>
  <c r="G71" i="8"/>
  <c r="Q71" i="8"/>
  <c r="F72" i="8"/>
  <c r="P72" i="8"/>
  <c r="E73" i="8"/>
  <c r="O73" i="8"/>
  <c r="D74" i="8"/>
  <c r="N74" i="8"/>
  <c r="K77" i="8"/>
  <c r="U77" i="8"/>
  <c r="H80" i="8"/>
  <c r="R80" i="8"/>
  <c r="G81" i="8"/>
  <c r="Q81" i="8"/>
  <c r="T52" i="8"/>
  <c r="J62" i="8"/>
  <c r="N65" i="8"/>
  <c r="M75" i="8"/>
  <c r="D72" i="8"/>
  <c r="B74" i="8"/>
  <c r="K75" i="8"/>
  <c r="T76" i="8"/>
  <c r="G79" i="8"/>
  <c r="E81" i="8"/>
  <c r="O52" i="8"/>
  <c r="I50" i="8"/>
  <c r="R51" i="8"/>
  <c r="Q52" i="8"/>
  <c r="F53" i="8"/>
  <c r="P53" i="8"/>
  <c r="M56" i="8"/>
  <c r="J59" i="8"/>
  <c r="T59" i="8"/>
  <c r="I60" i="8"/>
  <c r="S60" i="8"/>
  <c r="H61" i="8"/>
  <c r="R61" i="8"/>
  <c r="G62" i="8"/>
  <c r="Q62" i="8"/>
  <c r="F63" i="8"/>
  <c r="P63" i="8"/>
  <c r="C66" i="8"/>
  <c r="M66" i="8"/>
  <c r="J69" i="8"/>
  <c r="T69" i="8"/>
  <c r="I70" i="8"/>
  <c r="S70" i="8"/>
  <c r="H71" i="8"/>
  <c r="R71" i="8"/>
  <c r="G72" i="8"/>
  <c r="Q72" i="8"/>
  <c r="F73" i="8"/>
  <c r="P73" i="8"/>
  <c r="C76" i="8"/>
  <c r="M76" i="8"/>
  <c r="J79" i="8"/>
  <c r="T79" i="8"/>
  <c r="I80" i="8"/>
  <c r="S80" i="8"/>
  <c r="H81" i="8"/>
  <c r="R81" i="8"/>
  <c r="C55" i="8"/>
  <c r="Q63" i="8"/>
  <c r="P65" i="8"/>
  <c r="B72" i="8"/>
  <c r="F74" i="8"/>
  <c r="N75" i="8"/>
  <c r="M63" i="8"/>
  <c r="V64" i="8"/>
  <c r="J66" i="8"/>
  <c r="C73" i="8"/>
  <c r="J76" i="8"/>
  <c r="E52" i="8"/>
  <c r="S50" i="8"/>
  <c r="G52" i="8"/>
  <c r="J50" i="8"/>
  <c r="T50" i="8"/>
  <c r="I51" i="8"/>
  <c r="S51" i="8"/>
  <c r="H52" i="8"/>
  <c r="R52" i="8"/>
  <c r="E55" i="8"/>
  <c r="O55" i="8"/>
  <c r="B58" i="8"/>
  <c r="L58" i="8"/>
  <c r="V58" i="8"/>
  <c r="K59" i="8"/>
  <c r="U59" i="8"/>
  <c r="J60" i="8"/>
  <c r="T60" i="8"/>
  <c r="I61" i="8"/>
  <c r="S61" i="8"/>
  <c r="H62" i="8"/>
  <c r="R62" i="8"/>
  <c r="E65" i="8"/>
  <c r="O65" i="8"/>
  <c r="B68" i="8"/>
  <c r="L68" i="8"/>
  <c r="V68" i="8"/>
  <c r="K69" i="8"/>
  <c r="U69" i="8"/>
  <c r="J70" i="8"/>
  <c r="T70" i="8"/>
  <c r="I71" i="8"/>
  <c r="S71" i="8"/>
  <c r="H72" i="8"/>
  <c r="R72" i="8"/>
  <c r="E75" i="8"/>
  <c r="O75" i="8"/>
  <c r="B78" i="8"/>
  <c r="L78" i="8"/>
  <c r="V78" i="8"/>
  <c r="K79" i="8"/>
  <c r="U79" i="8"/>
  <c r="J80" i="8"/>
  <c r="T80" i="8"/>
  <c r="I81" i="8"/>
  <c r="S81" i="8"/>
  <c r="D55" i="8"/>
  <c r="M62" i="8"/>
  <c r="R63" i="8"/>
  <c r="Q65" i="8"/>
  <c r="C72" i="8"/>
  <c r="H73" i="8"/>
  <c r="H74" i="8"/>
  <c r="P75" i="8"/>
  <c r="T66" i="8"/>
  <c r="G69" i="8"/>
  <c r="N72" i="8"/>
  <c r="V74" i="8"/>
  <c r="D53" i="8"/>
  <c r="H51" i="8"/>
  <c r="C56" i="8"/>
  <c r="K50" i="8"/>
  <c r="U50" i="8"/>
  <c r="J51" i="8"/>
  <c r="T51" i="8"/>
  <c r="G54" i="8"/>
  <c r="Q54" i="8"/>
  <c r="D57" i="8"/>
  <c r="N57" i="8"/>
  <c r="C58" i="8"/>
  <c r="M58" i="8"/>
  <c r="B59" i="8"/>
  <c r="L59" i="8"/>
  <c r="V59" i="8"/>
  <c r="K60" i="8"/>
  <c r="U60" i="8"/>
  <c r="J61" i="8"/>
  <c r="T61" i="8"/>
  <c r="G64" i="8"/>
  <c r="Q64" i="8"/>
  <c r="D67" i="8"/>
  <c r="N67" i="8"/>
  <c r="C68" i="8"/>
  <c r="M68" i="8"/>
  <c r="B69" i="8"/>
  <c r="L69" i="8"/>
  <c r="V69" i="8"/>
  <c r="K70" i="8"/>
  <c r="U70" i="8"/>
  <c r="J71" i="8"/>
  <c r="T71" i="8"/>
  <c r="G74" i="8"/>
  <c r="Q74" i="8"/>
  <c r="D77" i="8"/>
  <c r="N77" i="8"/>
  <c r="C78" i="8"/>
  <c r="M78" i="8"/>
  <c r="B79" i="8"/>
  <c r="L79" i="8"/>
  <c r="V79" i="8"/>
  <c r="K80" i="8"/>
  <c r="U80" i="8"/>
  <c r="J81" i="8"/>
  <c r="T81" i="8"/>
  <c r="F55" i="8"/>
  <c r="O74" i="8"/>
  <c r="T50" i="3"/>
  <c r="J50" i="3"/>
  <c r="I50" i="3"/>
  <c r="L64" i="3"/>
  <c r="K53" i="3"/>
  <c r="S51" i="3"/>
  <c r="M75" i="3"/>
  <c r="D52" i="3"/>
  <c r="E51" i="3"/>
  <c r="V51" i="3"/>
  <c r="K52" i="3"/>
  <c r="E59" i="3"/>
  <c r="C79" i="3"/>
  <c r="L50" i="3"/>
  <c r="R50" i="3"/>
  <c r="N53" i="3"/>
  <c r="N50" i="3"/>
  <c r="V50" i="3"/>
  <c r="B52" i="3"/>
  <c r="C51" i="3"/>
  <c r="H50" i="3"/>
  <c r="P39" i="5"/>
  <c r="T80" i="5"/>
  <c r="M53" i="3"/>
  <c r="R38" i="5"/>
  <c r="M50" i="3"/>
  <c r="B51" i="3"/>
  <c r="K50" i="3"/>
  <c r="U41" i="5"/>
  <c r="M40" i="5"/>
  <c r="O77" i="3"/>
  <c r="P77" i="3"/>
  <c r="H39" i="5"/>
  <c r="B76" i="3"/>
  <c r="P72" i="3"/>
  <c r="V65" i="3"/>
  <c r="O63" i="3"/>
  <c r="T58" i="3"/>
  <c r="E68" i="3"/>
  <c r="O68" i="3"/>
  <c r="Q68" i="3"/>
  <c r="R68" i="3"/>
  <c r="S41" i="5"/>
  <c r="O72" i="3"/>
  <c r="N61" i="3"/>
  <c r="U55" i="3"/>
  <c r="V63" i="3"/>
  <c r="T36" i="3"/>
  <c r="T80" i="3" s="1"/>
  <c r="N79" i="3"/>
  <c r="M79" i="3"/>
  <c r="L75" i="3"/>
  <c r="L66" i="3"/>
  <c r="I80" i="5"/>
  <c r="M41" i="5"/>
  <c r="R70" i="3"/>
  <c r="L56" i="3"/>
  <c r="P70" i="3"/>
  <c r="C74" i="3"/>
  <c r="O70" i="3"/>
  <c r="R41" i="5"/>
  <c r="J80" i="5"/>
  <c r="K77" i="3"/>
  <c r="Q70" i="3"/>
  <c r="Q66" i="3"/>
  <c r="G61" i="3"/>
  <c r="V55" i="3"/>
  <c r="I41" i="5"/>
  <c r="J77" i="3"/>
  <c r="E72" i="3"/>
  <c r="Q60" i="3"/>
  <c r="D72" i="3"/>
  <c r="M61" i="3"/>
  <c r="I58" i="3"/>
  <c r="H74" i="3"/>
  <c r="H52" i="3"/>
  <c r="I51" i="3"/>
  <c r="Q52" i="3"/>
  <c r="G52" i="3"/>
  <c r="R51" i="3"/>
  <c r="H51" i="3"/>
  <c r="J41" i="5"/>
  <c r="U77" i="3"/>
  <c r="L76" i="3"/>
  <c r="N74" i="3"/>
  <c r="U74" i="3"/>
  <c r="B72" i="3"/>
  <c r="I69" i="3"/>
  <c r="J68" i="3"/>
  <c r="R64" i="3"/>
  <c r="S59" i="3"/>
  <c r="V56" i="3"/>
  <c r="N54" i="3"/>
  <c r="O52" i="3"/>
  <c r="P51" i="3"/>
  <c r="T41" i="5"/>
  <c r="L80" i="5"/>
  <c r="R39" i="5"/>
  <c r="S79" i="3"/>
  <c r="V76" i="3"/>
  <c r="O73" i="3"/>
  <c r="Q71" i="3"/>
  <c r="S69" i="3"/>
  <c r="V66" i="3"/>
  <c r="M65" i="3"/>
  <c r="P62" i="3"/>
  <c r="R60" i="3"/>
  <c r="U57" i="3"/>
  <c r="V54" i="3"/>
  <c r="N52" i="3"/>
  <c r="G50" i="3"/>
  <c r="N51" i="3"/>
  <c r="B40" i="5"/>
  <c r="P80" i="5"/>
  <c r="P36" i="3"/>
  <c r="S55" i="3"/>
  <c r="K73" i="3"/>
  <c r="T68" i="3"/>
  <c r="U67" i="3"/>
  <c r="N64" i="3"/>
  <c r="Q61" i="3"/>
  <c r="C60" i="3"/>
  <c r="P57" i="3"/>
  <c r="M55" i="3"/>
  <c r="U50" i="3"/>
  <c r="B74" i="3"/>
  <c r="O51" i="3"/>
  <c r="K40" i="5"/>
  <c r="U39" i="5"/>
  <c r="Q50" i="3"/>
  <c r="D50" i="3"/>
  <c r="L40" i="5"/>
  <c r="P50" i="3"/>
  <c r="G51" i="3"/>
  <c r="C39" i="5"/>
  <c r="B80" i="5"/>
  <c r="E36" i="3"/>
  <c r="F76" i="3"/>
  <c r="D38" i="5"/>
  <c r="N38" i="5"/>
  <c r="V40" i="5"/>
  <c r="C50" i="3"/>
  <c r="L52" i="3"/>
  <c r="M39" i="5"/>
  <c r="M39" i="8" s="1"/>
  <c r="E39" i="5"/>
  <c r="O38" i="5"/>
  <c r="C52" i="3"/>
  <c r="D51" i="3"/>
  <c r="F40" i="5"/>
  <c r="P41" i="5"/>
  <c r="U52" i="3"/>
  <c r="G41" i="5"/>
  <c r="Q41" i="5"/>
  <c r="Q41" i="8" s="1"/>
  <c r="U80" i="5"/>
  <c r="K80" i="5"/>
  <c r="U36" i="3"/>
  <c r="K36" i="3"/>
  <c r="V79" i="3"/>
  <c r="L79" i="3"/>
  <c r="B79" i="3"/>
  <c r="M78" i="3"/>
  <c r="C78" i="3"/>
  <c r="N77" i="3"/>
  <c r="D77" i="3"/>
  <c r="O76" i="3"/>
  <c r="E76" i="3"/>
  <c r="P75" i="3"/>
  <c r="F75" i="3"/>
  <c r="Q74" i="3"/>
  <c r="G74" i="3"/>
  <c r="R73" i="3"/>
  <c r="H73" i="3"/>
  <c r="S72" i="3"/>
  <c r="I72" i="3"/>
  <c r="T71" i="3"/>
  <c r="J71" i="3"/>
  <c r="U70" i="3"/>
  <c r="K70" i="3"/>
  <c r="V69" i="3"/>
  <c r="L69" i="3"/>
  <c r="B69" i="3"/>
  <c r="M68" i="3"/>
  <c r="C68" i="3"/>
  <c r="N67" i="3"/>
  <c r="D67" i="3"/>
  <c r="O66" i="3"/>
  <c r="E66" i="3"/>
  <c r="P65" i="3"/>
  <c r="F65" i="3"/>
  <c r="Q64" i="3"/>
  <c r="G64" i="3"/>
  <c r="R63" i="3"/>
  <c r="H63" i="3"/>
  <c r="S62" i="3"/>
  <c r="I62" i="3"/>
  <c r="T61" i="3"/>
  <c r="J61" i="3"/>
  <c r="U60" i="3"/>
  <c r="K60" i="3"/>
  <c r="V59" i="3"/>
  <c r="L59" i="3"/>
  <c r="B59" i="3"/>
  <c r="M58" i="3"/>
  <c r="C58" i="3"/>
  <c r="N57" i="3"/>
  <c r="D57" i="3"/>
  <c r="O56" i="3"/>
  <c r="E56" i="3"/>
  <c r="P55" i="3"/>
  <c r="F55" i="3"/>
  <c r="Q54" i="3"/>
  <c r="G54" i="3"/>
  <c r="R53" i="3"/>
  <c r="H53" i="3"/>
  <c r="S52" i="3"/>
  <c r="I52" i="3"/>
  <c r="T51" i="3"/>
  <c r="J51" i="3"/>
  <c r="P40" i="5"/>
  <c r="F38" i="5"/>
  <c r="F41" i="5"/>
  <c r="P38" i="5"/>
  <c r="K41" i="5"/>
  <c r="S39" i="5"/>
  <c r="H40" i="5"/>
  <c r="N39" i="5"/>
  <c r="G40" i="5"/>
  <c r="D41" i="5"/>
  <c r="E41" i="5"/>
  <c r="S38" i="5"/>
  <c r="S38" i="8" s="1"/>
  <c r="Q39" i="5"/>
  <c r="N40" i="5"/>
  <c r="H41" i="5"/>
  <c r="G38" i="5"/>
  <c r="F39" i="5"/>
  <c r="C40" i="5"/>
  <c r="Q40" i="5"/>
  <c r="Q40" i="8" s="1"/>
  <c r="N41" i="5"/>
  <c r="O40" i="5"/>
  <c r="H38" i="5"/>
  <c r="G39" i="5"/>
  <c r="D40" i="5"/>
  <c r="R40" i="5"/>
  <c r="O41" i="5"/>
  <c r="I38" i="5"/>
  <c r="E40" i="5"/>
  <c r="V41" i="5"/>
  <c r="Q38" i="5"/>
  <c r="E38" i="5"/>
  <c r="D39" i="5"/>
  <c r="I39" i="5"/>
  <c r="C41" i="5"/>
  <c r="M39" i="3"/>
  <c r="B81" i="3"/>
  <c r="C81" i="3"/>
  <c r="B41" i="5"/>
  <c r="B41" i="8" s="1"/>
  <c r="L41" i="5"/>
  <c r="L41" i="8" s="1"/>
  <c r="P81" i="3"/>
  <c r="J38" i="5"/>
  <c r="T38" i="5"/>
  <c r="K38" i="5"/>
  <c r="U38" i="5"/>
  <c r="J39" i="5"/>
  <c r="T39" i="5"/>
  <c r="T39" i="8" s="1"/>
  <c r="I40" i="5"/>
  <c r="S40" i="5"/>
  <c r="S40" i="8" s="1"/>
  <c r="Q81" i="3"/>
  <c r="T40" i="5"/>
  <c r="T40" i="8" s="1"/>
  <c r="B38" i="5"/>
  <c r="K39" i="5"/>
  <c r="J40" i="5"/>
  <c r="C38" i="5"/>
  <c r="C38" i="8" s="1"/>
  <c r="M38" i="5"/>
  <c r="M38" i="8" s="1"/>
  <c r="B39" i="5"/>
  <c r="L39" i="5"/>
  <c r="V39" i="5"/>
  <c r="U40" i="5"/>
  <c r="V81" i="5"/>
  <c r="L38" i="5"/>
  <c r="V38" i="5"/>
  <c r="Q40" i="3"/>
  <c r="T81" i="3"/>
  <c r="J81" i="3"/>
  <c r="S81" i="3"/>
  <c r="I81" i="3"/>
  <c r="U79" i="3"/>
  <c r="K79" i="3"/>
  <c r="V78" i="3"/>
  <c r="L78" i="3"/>
  <c r="B78" i="3"/>
  <c r="N78" i="3"/>
  <c r="O78" i="3"/>
  <c r="D78" i="3"/>
  <c r="P78" i="3"/>
  <c r="Q78" i="3"/>
  <c r="M77" i="3"/>
  <c r="C77" i="3"/>
  <c r="I77" i="3"/>
  <c r="N76" i="3"/>
  <c r="D76" i="3"/>
  <c r="O75" i="3"/>
  <c r="E75" i="3"/>
  <c r="P74" i="3"/>
  <c r="F74" i="3"/>
  <c r="Q73" i="3"/>
  <c r="G73" i="3"/>
  <c r="R72" i="3"/>
  <c r="H72" i="3"/>
  <c r="S71" i="3"/>
  <c r="I71" i="3"/>
  <c r="T70" i="3"/>
  <c r="J70" i="3"/>
  <c r="U69" i="3"/>
  <c r="K69" i="3"/>
  <c r="V68" i="3"/>
  <c r="L68" i="3"/>
  <c r="B68" i="3"/>
  <c r="F68" i="3"/>
  <c r="I68" i="3"/>
  <c r="G68" i="3"/>
  <c r="H68" i="3"/>
  <c r="N68" i="3"/>
  <c r="P68" i="3"/>
  <c r="M67" i="3"/>
  <c r="C67" i="3"/>
  <c r="S67" i="3"/>
  <c r="F67" i="3"/>
  <c r="E67" i="3"/>
  <c r="R67" i="3"/>
  <c r="H67" i="3"/>
  <c r="N66" i="3"/>
  <c r="D66" i="3"/>
  <c r="O65" i="3"/>
  <c r="E65" i="3"/>
  <c r="P64" i="3"/>
  <c r="F64" i="3"/>
  <c r="Q63" i="3"/>
  <c r="G63" i="3"/>
  <c r="R62" i="3"/>
  <c r="H62" i="3"/>
  <c r="S61" i="3"/>
  <c r="I61" i="3"/>
  <c r="T60" i="3"/>
  <c r="J60" i="3"/>
  <c r="U59" i="3"/>
  <c r="K59" i="3"/>
  <c r="V58" i="3"/>
  <c r="L58" i="3"/>
  <c r="B58" i="3"/>
  <c r="M57" i="3"/>
  <c r="C57" i="3"/>
  <c r="N56" i="3"/>
  <c r="D56" i="3"/>
  <c r="O55" i="3"/>
  <c r="E55" i="3"/>
  <c r="P54" i="3"/>
  <c r="F54" i="3"/>
  <c r="Q53" i="3"/>
  <c r="G53" i="3"/>
  <c r="V81" i="3"/>
  <c r="R79" i="3"/>
  <c r="I78" i="3"/>
  <c r="K76" i="3"/>
  <c r="Q75" i="3"/>
  <c r="K74" i="3"/>
  <c r="N73" i="3"/>
  <c r="C73" i="3"/>
  <c r="K72" i="3"/>
  <c r="P71" i="3"/>
  <c r="C71" i="3"/>
  <c r="G70" i="3"/>
  <c r="C69" i="3"/>
  <c r="S68" i="3"/>
  <c r="U66" i="3"/>
  <c r="L65" i="3"/>
  <c r="Q65" i="3"/>
  <c r="U64" i="3"/>
  <c r="K63" i="3"/>
  <c r="O62" i="3"/>
  <c r="G79" i="3"/>
  <c r="H79" i="3"/>
  <c r="I79" i="3"/>
  <c r="F66" i="3"/>
  <c r="S66" i="3"/>
  <c r="G66" i="3"/>
  <c r="H66" i="3"/>
  <c r="I66" i="3"/>
  <c r="J66" i="3"/>
  <c r="K66" i="3"/>
  <c r="P66" i="3"/>
  <c r="C65" i="3"/>
  <c r="B65" i="3"/>
  <c r="R65" i="3"/>
  <c r="S65" i="3"/>
  <c r="H65" i="3"/>
  <c r="U65" i="3"/>
  <c r="E63" i="3"/>
  <c r="M63" i="3"/>
  <c r="N63" i="3"/>
  <c r="B63" i="3"/>
  <c r="T63" i="3"/>
  <c r="F56" i="3"/>
  <c r="P56" i="3"/>
  <c r="B56" i="3"/>
  <c r="G56" i="3"/>
  <c r="U56" i="3"/>
  <c r="H56" i="3"/>
  <c r="I56" i="3"/>
  <c r="K56" i="3"/>
  <c r="J56" i="3"/>
  <c r="Q56" i="3"/>
  <c r="Q55" i="3"/>
  <c r="G55" i="3"/>
  <c r="I55" i="3"/>
  <c r="J55" i="3"/>
  <c r="K55" i="3"/>
  <c r="L55" i="3"/>
  <c r="R55" i="3"/>
  <c r="B55" i="3"/>
  <c r="T55" i="3"/>
  <c r="O53" i="3"/>
  <c r="C53" i="3"/>
  <c r="U53" i="3"/>
  <c r="D53" i="3"/>
  <c r="V53" i="3"/>
  <c r="E53" i="3"/>
  <c r="J53" i="3"/>
  <c r="L53" i="3"/>
  <c r="D68" i="3"/>
  <c r="R78" i="3"/>
  <c r="L73" i="3"/>
  <c r="N60" i="3"/>
  <c r="C55" i="3"/>
  <c r="D81" i="3"/>
  <c r="Q79" i="3"/>
  <c r="D79" i="3"/>
  <c r="J76" i="3"/>
  <c r="V74" i="3"/>
  <c r="I74" i="3"/>
  <c r="B73" i="3"/>
  <c r="V72" i="3"/>
  <c r="O71" i="3"/>
  <c r="N71" i="3"/>
  <c r="F70" i="3"/>
  <c r="N69" i="3"/>
  <c r="T66" i="3"/>
  <c r="K65" i="3"/>
  <c r="O61" i="3"/>
  <c r="O58" i="3"/>
  <c r="Q57" i="3"/>
  <c r="T56" i="3"/>
  <c r="L54" i="3"/>
  <c r="I76" i="3"/>
  <c r="P76" i="3"/>
  <c r="Q76" i="3"/>
  <c r="F72" i="3"/>
  <c r="L72" i="3"/>
  <c r="M72" i="3"/>
  <c r="N72" i="3"/>
  <c r="F71" i="3"/>
  <c r="D71" i="3"/>
  <c r="V71" i="3"/>
  <c r="E71" i="3"/>
  <c r="U71" i="3"/>
  <c r="H70" i="3"/>
  <c r="L70" i="3"/>
  <c r="M70" i="3"/>
  <c r="N70" i="3"/>
  <c r="C70" i="3"/>
  <c r="N62" i="3"/>
  <c r="C62" i="3"/>
  <c r="B62" i="3"/>
  <c r="U62" i="3"/>
  <c r="E62" i="3"/>
  <c r="C61" i="3"/>
  <c r="F61" i="3"/>
  <c r="D61" i="3"/>
  <c r="V61" i="3"/>
  <c r="E61" i="3"/>
  <c r="L61" i="3"/>
  <c r="I59" i="3"/>
  <c r="N59" i="3"/>
  <c r="P59" i="3"/>
  <c r="O59" i="3"/>
  <c r="D59" i="3"/>
  <c r="R59" i="3"/>
  <c r="J58" i="3"/>
  <c r="P58" i="3"/>
  <c r="S58" i="3"/>
  <c r="Q58" i="3"/>
  <c r="R58" i="3"/>
  <c r="E58" i="3"/>
  <c r="G58" i="3"/>
  <c r="S57" i="3"/>
  <c r="H57" i="3"/>
  <c r="F57" i="3"/>
  <c r="T57" i="3"/>
  <c r="G57" i="3"/>
  <c r="J57" i="3"/>
  <c r="M73" i="3"/>
  <c r="D63" i="3"/>
  <c r="P60" i="3"/>
  <c r="G80" i="3"/>
  <c r="T76" i="3"/>
  <c r="J65" i="3"/>
  <c r="H78" i="3"/>
  <c r="S76" i="3"/>
  <c r="M71" i="3"/>
  <c r="B70" i="3"/>
  <c r="J67" i="3"/>
  <c r="I65" i="3"/>
  <c r="V62" i="3"/>
  <c r="K57" i="3"/>
  <c r="G81" i="3"/>
  <c r="K81" i="3"/>
  <c r="L81" i="3"/>
  <c r="J78" i="3"/>
  <c r="C75" i="3"/>
  <c r="T75" i="3"/>
  <c r="I75" i="3"/>
  <c r="G75" i="3"/>
  <c r="V75" i="3"/>
  <c r="H75" i="3"/>
  <c r="U75" i="3"/>
  <c r="L74" i="3"/>
  <c r="M74" i="3"/>
  <c r="D73" i="3"/>
  <c r="I73" i="3"/>
  <c r="T73" i="3"/>
  <c r="V73" i="3"/>
  <c r="E73" i="3"/>
  <c r="U73" i="3"/>
  <c r="K67" i="3"/>
  <c r="F60" i="3"/>
  <c r="G60" i="3"/>
  <c r="H60" i="3"/>
  <c r="M60" i="3"/>
  <c r="O60" i="3"/>
  <c r="U54" i="3"/>
  <c r="S54" i="3"/>
  <c r="C54" i="3"/>
  <c r="B54" i="3"/>
  <c r="T54" i="3"/>
  <c r="I54" i="3"/>
  <c r="S78" i="3"/>
  <c r="T65" i="3"/>
  <c r="J75" i="3"/>
  <c r="C63" i="3"/>
  <c r="G78" i="3"/>
  <c r="J73" i="3"/>
  <c r="I67" i="3"/>
  <c r="G65" i="3"/>
  <c r="I57" i="3"/>
  <c r="K54" i="3"/>
  <c r="U76" i="3"/>
  <c r="E70" i="3"/>
  <c r="H55" i="3"/>
  <c r="F79" i="3"/>
  <c r="D70" i="3"/>
  <c r="T74" i="3"/>
  <c r="M69" i="3"/>
  <c r="K62" i="3"/>
  <c r="N81" i="3"/>
  <c r="P79" i="3"/>
  <c r="F78" i="3"/>
  <c r="H76" i="3"/>
  <c r="S74" i="3"/>
  <c r="U72" i="3"/>
  <c r="K71" i="3"/>
  <c r="G67" i="3"/>
  <c r="F62" i="3"/>
  <c r="Q59" i="3"/>
  <c r="S56" i="3"/>
  <c r="J54" i="3"/>
  <c r="P80" i="3"/>
  <c r="D69" i="3"/>
  <c r="F69" i="3"/>
  <c r="Q69" i="3"/>
  <c r="E69" i="3"/>
  <c r="R69" i="3"/>
  <c r="H69" i="3"/>
  <c r="D64" i="3"/>
  <c r="K64" i="3"/>
  <c r="J64" i="3"/>
  <c r="M64" i="3"/>
  <c r="K75" i="3"/>
  <c r="C72" i="3"/>
  <c r="F58" i="3"/>
  <c r="T67" i="3"/>
  <c r="O81" i="3"/>
  <c r="R76" i="3"/>
  <c r="L71" i="3"/>
  <c r="M81" i="3"/>
  <c r="O79" i="3"/>
  <c r="E78" i="3"/>
  <c r="G76" i="3"/>
  <c r="R74" i="3"/>
  <c r="T72" i="3"/>
  <c r="G71" i="3"/>
  <c r="G69" i="3"/>
  <c r="R66" i="3"/>
  <c r="D62" i="3"/>
  <c r="F59" i="3"/>
  <c r="R56" i="3"/>
  <c r="D54" i="3"/>
  <c r="R81" i="3"/>
  <c r="H81" i="3"/>
  <c r="I80" i="3"/>
  <c r="T79" i="3"/>
  <c r="J79" i="3"/>
  <c r="U78" i="3"/>
  <c r="K78" i="3"/>
  <c r="V77" i="3"/>
  <c r="L77" i="3"/>
  <c r="B77" i="3"/>
  <c r="M76" i="3"/>
  <c r="C76" i="3"/>
  <c r="N75" i="3"/>
  <c r="D75" i="3"/>
  <c r="O74" i="3"/>
  <c r="E74" i="3"/>
  <c r="P73" i="3"/>
  <c r="F73" i="3"/>
  <c r="Q72" i="3"/>
  <c r="G72" i="3"/>
  <c r="R71" i="3"/>
  <c r="H71" i="3"/>
  <c r="S70" i="3"/>
  <c r="I70" i="3"/>
  <c r="T69" i="3"/>
  <c r="J69" i="3"/>
  <c r="U68" i="3"/>
  <c r="K68" i="3"/>
  <c r="V67" i="3"/>
  <c r="L67" i="3"/>
  <c r="B67" i="3"/>
  <c r="M66" i="3"/>
  <c r="C66" i="3"/>
  <c r="N65" i="3"/>
  <c r="D65" i="3"/>
  <c r="O64" i="3"/>
  <c r="E64" i="3"/>
  <c r="P63" i="3"/>
  <c r="F63" i="3"/>
  <c r="Q62" i="3"/>
  <c r="G62" i="3"/>
  <c r="R61" i="3"/>
  <c r="H61" i="3"/>
  <c r="S60" i="3"/>
  <c r="I60" i="3"/>
  <c r="T59" i="3"/>
  <c r="J59" i="3"/>
  <c r="U58" i="3"/>
  <c r="K58" i="3"/>
  <c r="V57" i="3"/>
  <c r="L57" i="3"/>
  <c r="B57" i="3"/>
  <c r="M56" i="3"/>
  <c r="C56" i="3"/>
  <c r="N55" i="3"/>
  <c r="D55" i="3"/>
  <c r="O54" i="3"/>
  <c r="E54" i="3"/>
  <c r="P53" i="3"/>
  <c r="F53" i="3"/>
  <c r="H77" i="3"/>
  <c r="H64" i="3"/>
  <c r="I63" i="3"/>
  <c r="S63" i="3"/>
  <c r="T62" i="3"/>
  <c r="J62" i="3"/>
  <c r="K61" i="3"/>
  <c r="U61" i="3"/>
  <c r="B60" i="3"/>
  <c r="L60" i="3"/>
  <c r="V60" i="3"/>
  <c r="C59" i="3"/>
  <c r="M59" i="3"/>
  <c r="H54" i="3"/>
  <c r="R54" i="3"/>
  <c r="S53" i="3"/>
  <c r="I53" i="3"/>
  <c r="J52" i="3"/>
  <c r="U51" i="3"/>
  <c r="K51" i="3"/>
  <c r="F50" i="3"/>
  <c r="V64" i="3"/>
  <c r="I64" i="3"/>
  <c r="L63" i="3"/>
  <c r="G77" i="3"/>
  <c r="Q67" i="3"/>
  <c r="F81" i="3"/>
  <c r="P67" i="3"/>
  <c r="T77" i="3"/>
  <c r="F77" i="3"/>
  <c r="S73" i="3"/>
  <c r="P69" i="3"/>
  <c r="U81" i="3"/>
  <c r="E81" i="3"/>
  <c r="E79" i="3"/>
  <c r="R77" i="3"/>
  <c r="E77" i="3"/>
  <c r="R75" i="3"/>
  <c r="B75" i="3"/>
  <c r="J74" i="3"/>
  <c r="J72" i="3"/>
  <c r="B71" i="3"/>
  <c r="O69" i="3"/>
  <c r="O67" i="3"/>
  <c r="T64" i="3"/>
  <c r="C64" i="3"/>
  <c r="J63" i="3"/>
  <c r="M62" i="3"/>
  <c r="P61" i="3"/>
  <c r="B61" i="3"/>
  <c r="E60" i="3"/>
  <c r="H59" i="3"/>
  <c r="R57" i="3"/>
  <c r="M54" i="3"/>
  <c r="T53" i="3"/>
  <c r="B53" i="3"/>
  <c r="F52" i="3"/>
  <c r="M51" i="3"/>
  <c r="S77" i="3"/>
  <c r="S75" i="3"/>
  <c r="Q77" i="3"/>
  <c r="V70" i="3"/>
  <c r="S64" i="3"/>
  <c r="B64" i="3"/>
  <c r="L62" i="3"/>
  <c r="D60" i="3"/>
  <c r="G59" i="3"/>
  <c r="V52" i="3"/>
  <c r="E52" i="3"/>
  <c r="L51" i="3"/>
  <c r="D58" i="3"/>
  <c r="O50" i="3"/>
  <c r="E50" i="3"/>
  <c r="N58" i="3"/>
  <c r="O57" i="3"/>
  <c r="E57" i="3"/>
  <c r="R81" i="5"/>
  <c r="C81" i="5"/>
  <c r="M81" i="5"/>
  <c r="D81" i="5"/>
  <c r="N81" i="5"/>
  <c r="E81" i="5"/>
  <c r="O81" i="5"/>
  <c r="F81" i="5"/>
  <c r="P81" i="5"/>
  <c r="G81" i="5"/>
  <c r="I81" i="5"/>
  <c r="S81" i="5"/>
  <c r="Q81" i="5"/>
  <c r="J81" i="5"/>
  <c r="T81" i="5"/>
  <c r="H81" i="5"/>
  <c r="U81" i="5"/>
  <c r="K81" i="5"/>
  <c r="B81" i="5"/>
  <c r="L81" i="5"/>
  <c r="S80" i="5"/>
  <c r="R80" i="5"/>
  <c r="H80" i="5"/>
  <c r="C80" i="5"/>
  <c r="M80" i="5"/>
  <c r="D80" i="5"/>
  <c r="N80" i="5"/>
  <c r="E80" i="5"/>
  <c r="O80" i="5"/>
  <c r="Q80" i="5"/>
  <c r="G80" i="5"/>
  <c r="F80" i="5"/>
  <c r="V80" i="5"/>
  <c r="O40" i="3" l="1"/>
  <c r="O40" i="8"/>
  <c r="P40" i="3"/>
  <c r="P40" i="8"/>
  <c r="S38" i="3"/>
  <c r="U38" i="3"/>
  <c r="U38" i="8"/>
  <c r="R40" i="3"/>
  <c r="R40" i="8"/>
  <c r="H41" i="3"/>
  <c r="H41" i="8"/>
  <c r="K41" i="3"/>
  <c r="K41" i="8"/>
  <c r="K85" i="8" s="1"/>
  <c r="B40" i="3"/>
  <c r="B40" i="8"/>
  <c r="P39" i="3"/>
  <c r="P39" i="8"/>
  <c r="C41" i="3"/>
  <c r="C41" i="8"/>
  <c r="D40" i="3"/>
  <c r="D40" i="8"/>
  <c r="N40" i="3"/>
  <c r="N40" i="8"/>
  <c r="N84" i="8" s="1"/>
  <c r="P38" i="3"/>
  <c r="P38" i="8"/>
  <c r="G41" i="3"/>
  <c r="G41" i="8"/>
  <c r="L40" i="3"/>
  <c r="L40" i="8"/>
  <c r="J41" i="3"/>
  <c r="J41" i="8"/>
  <c r="J40" i="3"/>
  <c r="J40" i="8"/>
  <c r="T38" i="3"/>
  <c r="T38" i="8"/>
  <c r="M40" i="3"/>
  <c r="M40" i="8"/>
  <c r="K38" i="3"/>
  <c r="K38" i="8"/>
  <c r="K39" i="3"/>
  <c r="K39" i="8"/>
  <c r="K83" i="8" s="1"/>
  <c r="Q39" i="3"/>
  <c r="Q39" i="8"/>
  <c r="D38" i="3"/>
  <c r="D38" i="8"/>
  <c r="U40" i="3"/>
  <c r="U40" i="8"/>
  <c r="Q38" i="3"/>
  <c r="Q38" i="8"/>
  <c r="N41" i="3"/>
  <c r="N41" i="8"/>
  <c r="D41" i="3"/>
  <c r="D41" i="8"/>
  <c r="K40" i="3"/>
  <c r="K40" i="8"/>
  <c r="R39" i="3"/>
  <c r="R39" i="8"/>
  <c r="I41" i="3"/>
  <c r="I41" i="8"/>
  <c r="V38" i="3"/>
  <c r="V38" i="8"/>
  <c r="F41" i="3"/>
  <c r="F41" i="8"/>
  <c r="F40" i="3"/>
  <c r="F40" i="8"/>
  <c r="V39" i="3"/>
  <c r="V39" i="8"/>
  <c r="V41" i="3"/>
  <c r="V41" i="8"/>
  <c r="G40" i="3"/>
  <c r="G40" i="8"/>
  <c r="I39" i="3"/>
  <c r="I39" i="8"/>
  <c r="V40" i="3"/>
  <c r="V40" i="8"/>
  <c r="L38" i="3"/>
  <c r="L38" i="8"/>
  <c r="B38" i="3"/>
  <c r="B38" i="8"/>
  <c r="J38" i="3"/>
  <c r="J38" i="8"/>
  <c r="P41" i="3"/>
  <c r="P41" i="8"/>
  <c r="U41" i="3"/>
  <c r="U41" i="8"/>
  <c r="E38" i="3"/>
  <c r="E38" i="8"/>
  <c r="E41" i="3"/>
  <c r="E41" i="8"/>
  <c r="U39" i="3"/>
  <c r="U39" i="8"/>
  <c r="L39" i="3"/>
  <c r="L39" i="8"/>
  <c r="I40" i="3"/>
  <c r="I40" i="8"/>
  <c r="E40" i="3"/>
  <c r="E40" i="8"/>
  <c r="C40" i="3"/>
  <c r="C40" i="8"/>
  <c r="N39" i="3"/>
  <c r="N39" i="8"/>
  <c r="O38" i="3"/>
  <c r="O38" i="8"/>
  <c r="O82" i="8" s="1"/>
  <c r="T41" i="3"/>
  <c r="T41" i="8"/>
  <c r="R38" i="3"/>
  <c r="R38" i="8"/>
  <c r="B39" i="3"/>
  <c r="B39" i="8"/>
  <c r="I38" i="3"/>
  <c r="I38" i="8"/>
  <c r="F39" i="3"/>
  <c r="F39" i="8"/>
  <c r="H40" i="3"/>
  <c r="H40" i="8"/>
  <c r="E39" i="3"/>
  <c r="E39" i="8"/>
  <c r="C39" i="3"/>
  <c r="C39" i="8"/>
  <c r="M41" i="3"/>
  <c r="M41" i="8"/>
  <c r="G39" i="3"/>
  <c r="G39" i="8"/>
  <c r="R41" i="3"/>
  <c r="R41" i="8"/>
  <c r="D39" i="3"/>
  <c r="D39" i="8"/>
  <c r="H38" i="3"/>
  <c r="H38" i="8"/>
  <c r="F38" i="3"/>
  <c r="F38" i="8"/>
  <c r="N38" i="3"/>
  <c r="N38" i="8"/>
  <c r="J39" i="3"/>
  <c r="J39" i="8"/>
  <c r="Q41" i="3"/>
  <c r="O41" i="3"/>
  <c r="O41" i="8"/>
  <c r="G38" i="3"/>
  <c r="G38" i="8"/>
  <c r="S39" i="3"/>
  <c r="S39" i="8"/>
  <c r="S41" i="3"/>
  <c r="S41" i="8"/>
  <c r="H39" i="3"/>
  <c r="H39" i="8"/>
  <c r="J80" i="3"/>
  <c r="U85" i="5"/>
  <c r="T85" i="5"/>
  <c r="Q80" i="3"/>
  <c r="D80" i="3"/>
  <c r="H80" i="3"/>
  <c r="M80" i="3"/>
  <c r="C80" i="3"/>
  <c r="F80" i="3"/>
  <c r="K80" i="3"/>
  <c r="N80" i="3"/>
  <c r="O80" i="3"/>
  <c r="L80" i="3"/>
  <c r="S80" i="3"/>
  <c r="U80" i="3"/>
  <c r="R80" i="3"/>
  <c r="V80" i="3"/>
  <c r="E80" i="3"/>
  <c r="B80" i="3"/>
  <c r="M85" i="5"/>
  <c r="S85" i="5"/>
  <c r="L82" i="5"/>
  <c r="C85" i="5"/>
  <c r="B85" i="5"/>
  <c r="R83" i="5"/>
  <c r="V85" i="5"/>
  <c r="U83" i="5"/>
  <c r="I85" i="5"/>
  <c r="O83" i="5"/>
  <c r="L83" i="5"/>
  <c r="B83" i="5"/>
  <c r="H85" i="5"/>
  <c r="F85" i="5"/>
  <c r="R85" i="5"/>
  <c r="D85" i="5"/>
  <c r="G85" i="5"/>
  <c r="E85" i="5"/>
  <c r="P85" i="5"/>
  <c r="J85" i="5"/>
  <c r="N85" i="5"/>
  <c r="T83" i="5"/>
  <c r="T39" i="3"/>
  <c r="G83" i="5"/>
  <c r="D82" i="5"/>
  <c r="P82" i="5"/>
  <c r="H84" i="5"/>
  <c r="K84" i="5"/>
  <c r="N82" i="5"/>
  <c r="C83" i="5"/>
  <c r="D84" i="5"/>
  <c r="F82" i="5"/>
  <c r="E84" i="5"/>
  <c r="N84" i="5"/>
  <c r="T84" i="5"/>
  <c r="T40" i="3"/>
  <c r="G82" i="5"/>
  <c r="R84" i="5"/>
  <c r="J84" i="5"/>
  <c r="R82" i="5"/>
  <c r="O84" i="5"/>
  <c r="F84" i="5"/>
  <c r="H82" i="5"/>
  <c r="O82" i="5"/>
  <c r="L84" i="5"/>
  <c r="U84" i="5"/>
  <c r="P83" i="5"/>
  <c r="E82" i="5"/>
  <c r="T82" i="5"/>
  <c r="J82" i="5"/>
  <c r="K83" i="5"/>
  <c r="Q82" i="5"/>
  <c r="I82" i="5"/>
  <c r="J83" i="5"/>
  <c r="C84" i="5"/>
  <c r="M82" i="5"/>
  <c r="M38" i="3"/>
  <c r="Q83" i="5"/>
  <c r="N83" i="5"/>
  <c r="B82" i="5"/>
  <c r="I83" i="5"/>
  <c r="F83" i="5"/>
  <c r="M84" i="5"/>
  <c r="U82" i="5"/>
  <c r="C38" i="3"/>
  <c r="L85" i="5"/>
  <c r="L41" i="3"/>
  <c r="M83" i="5"/>
  <c r="G84" i="5"/>
  <c r="P84" i="5"/>
  <c r="K85" i="5"/>
  <c r="B41" i="3"/>
  <c r="V82" i="5"/>
  <c r="K82" i="5"/>
  <c r="S83" i="5"/>
  <c r="E83" i="5"/>
  <c r="B84" i="5"/>
  <c r="Q84" i="5"/>
  <c r="C82" i="5"/>
  <c r="V83" i="5"/>
  <c r="D83" i="5"/>
  <c r="V84" i="5"/>
  <c r="S82" i="5"/>
  <c r="S84" i="5"/>
  <c r="S40" i="3"/>
  <c r="O85" i="5"/>
  <c r="I84" i="5"/>
  <c r="Q85" i="5"/>
  <c r="H83" i="5"/>
  <c r="F82" i="8" l="1"/>
  <c r="N82" i="8"/>
  <c r="G83" i="8"/>
  <c r="F83" i="8"/>
  <c r="P84" i="8"/>
  <c r="O84" i="8"/>
  <c r="G82" i="8"/>
  <c r="U83" i="8"/>
  <c r="V82" i="8"/>
  <c r="D84" i="8"/>
  <c r="L83" i="8"/>
  <c r="P85" i="8"/>
  <c r="I83" i="8"/>
  <c r="F85" i="8"/>
  <c r="D85" i="8"/>
  <c r="Q83" i="8"/>
  <c r="I82" i="8"/>
  <c r="Q84" i="8"/>
  <c r="S83" i="8"/>
  <c r="J84" i="8"/>
  <c r="M85" i="8"/>
  <c r="J82" i="8"/>
  <c r="G84" i="8"/>
  <c r="N85" i="8"/>
  <c r="J85" i="8"/>
  <c r="H85" i="8"/>
  <c r="H82" i="8"/>
  <c r="C83" i="8"/>
  <c r="T83" i="8"/>
  <c r="T83" i="3"/>
  <c r="O85" i="8"/>
  <c r="M83" i="8"/>
  <c r="O83" i="8"/>
  <c r="B83" i="8"/>
  <c r="C84" i="8"/>
  <c r="E85" i="8"/>
  <c r="B82" i="8"/>
  <c r="C82" i="8"/>
  <c r="M82" i="8"/>
  <c r="V85" i="8"/>
  <c r="I85" i="8"/>
  <c r="Q82" i="8"/>
  <c r="K82" i="8"/>
  <c r="L84" i="8"/>
  <c r="L85" i="8"/>
  <c r="C85" i="8"/>
  <c r="R84" i="8"/>
  <c r="Q85" i="8"/>
  <c r="D83" i="8"/>
  <c r="E83" i="8"/>
  <c r="T84" i="8"/>
  <c r="H83" i="8"/>
  <c r="R82" i="8"/>
  <c r="E84" i="8"/>
  <c r="E82" i="8"/>
  <c r="L82" i="8"/>
  <c r="V83" i="8"/>
  <c r="R83" i="8"/>
  <c r="U84" i="8"/>
  <c r="M84" i="8"/>
  <c r="G85" i="8"/>
  <c r="P83" i="8"/>
  <c r="U82" i="8"/>
  <c r="S84" i="8"/>
  <c r="H84" i="8"/>
  <c r="B85" i="8"/>
  <c r="N83" i="8"/>
  <c r="J83" i="8"/>
  <c r="R85" i="8"/>
  <c r="S85" i="8"/>
  <c r="T85" i="8"/>
  <c r="I84" i="8"/>
  <c r="U85" i="8"/>
  <c r="V84" i="8"/>
  <c r="F84" i="8"/>
  <c r="K84" i="8"/>
  <c r="D82" i="8"/>
  <c r="T82" i="8"/>
  <c r="P82" i="8"/>
  <c r="B84" i="8"/>
  <c r="S82" i="8"/>
  <c r="S84" i="3"/>
  <c r="Q82" i="3"/>
  <c r="F83" i="3"/>
  <c r="P83" i="3"/>
  <c r="O83" i="3"/>
  <c r="G83" i="3"/>
  <c r="H82" i="3"/>
  <c r="C82" i="3"/>
  <c r="U83" i="3"/>
  <c r="H83" i="3"/>
  <c r="Q83" i="3"/>
  <c r="K83" i="3"/>
  <c r="S83" i="3"/>
  <c r="B83" i="3"/>
  <c r="L83" i="3"/>
  <c r="J83" i="3"/>
  <c r="P82" i="3"/>
  <c r="D83" i="3"/>
  <c r="R83" i="3"/>
  <c r="P85" i="3"/>
  <c r="V83" i="3"/>
  <c r="N83" i="3"/>
  <c r="C83" i="3"/>
  <c r="I83" i="3"/>
  <c r="E83" i="3"/>
  <c r="C84" i="3"/>
  <c r="N82" i="3"/>
  <c r="N84" i="3"/>
  <c r="B84" i="3"/>
  <c r="J84" i="3"/>
  <c r="E84" i="3"/>
  <c r="F84" i="3"/>
  <c r="R84" i="3"/>
  <c r="L84" i="3"/>
  <c r="K84" i="3"/>
  <c r="O84" i="3"/>
  <c r="P84" i="3"/>
  <c r="Q84" i="3"/>
  <c r="I84" i="3"/>
  <c r="M82" i="3"/>
  <c r="M83" i="3"/>
  <c r="G84" i="3"/>
  <c r="H84" i="3"/>
  <c r="K82" i="3"/>
  <c r="I82" i="3"/>
  <c r="S82" i="3"/>
  <c r="O82" i="3"/>
  <c r="L82" i="3"/>
  <c r="E82" i="3"/>
  <c r="J82" i="3"/>
  <c r="U84" i="3"/>
  <c r="F82" i="3"/>
  <c r="T82" i="3"/>
  <c r="B82" i="3"/>
  <c r="T84" i="3"/>
  <c r="G82" i="3"/>
  <c r="U82" i="3"/>
  <c r="O85" i="3"/>
  <c r="E85" i="3"/>
  <c r="G85" i="3"/>
  <c r="Q85" i="3"/>
  <c r="I85" i="3"/>
  <c r="U85" i="3"/>
  <c r="D85" i="3"/>
  <c r="R85" i="3"/>
  <c r="B85" i="3"/>
  <c r="C85" i="3"/>
  <c r="S85" i="3"/>
  <c r="F85" i="3"/>
  <c r="N85" i="3"/>
  <c r="V85" i="3"/>
  <c r="T85" i="3"/>
  <c r="H85" i="3"/>
  <c r="J85" i="3"/>
  <c r="M85" i="3"/>
  <c r="K85" i="3"/>
  <c r="R82" i="3"/>
  <c r="D82" i="3"/>
  <c r="L85" i="3"/>
  <c r="V82" i="3"/>
  <c r="D84" i="3"/>
  <c r="V84" i="3"/>
  <c r="M8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<sst xmlns="http://schemas.openxmlformats.org/spreadsheetml/2006/main" count="425" uniqueCount="201">
  <si>
    <t>MambaSL</t>
    <phoneticPr fontId="2" type="noConversion"/>
  </si>
  <si>
    <t>FD</t>
  </si>
  <si>
    <t>HW</t>
  </si>
  <si>
    <t>HB</t>
  </si>
  <si>
    <t>AWR</t>
  </si>
  <si>
    <t>AF</t>
  </si>
  <si>
    <t>BM</t>
  </si>
  <si>
    <t>CR</t>
  </si>
  <si>
    <t>DDG</t>
  </si>
  <si>
    <t>EW</t>
  </si>
  <si>
    <t>EP</t>
  </si>
  <si>
    <t>FM</t>
  </si>
  <si>
    <t>HMD</t>
  </si>
  <si>
    <t>LIB</t>
  </si>
  <si>
    <t>LSST</t>
  </si>
  <si>
    <t>MI</t>
  </si>
  <si>
    <t>PD</t>
  </si>
  <si>
    <t>PS</t>
  </si>
  <si>
    <t>RS</t>
  </si>
  <si>
    <t>SWJ</t>
  </si>
  <si>
    <t>avg. rank</t>
    <phoneticPr fontId="2" type="noConversion"/>
  </si>
  <si>
    <t>\# of win/draw</t>
    <phoneticPr fontId="2" type="noConversion"/>
  </si>
  <si>
    <t>\# of lose/draw</t>
    <phoneticPr fontId="2" type="noConversion"/>
  </si>
  <si>
    <t>DTW_D</t>
    <phoneticPr fontId="2" type="noConversion"/>
  </si>
  <si>
    <t>ROCKET</t>
    <phoneticPr fontId="2" type="noConversion"/>
  </si>
  <si>
    <t>Hydra</t>
    <phoneticPr fontId="2" type="noConversion"/>
  </si>
  <si>
    <t>Dlinear</t>
    <phoneticPr fontId="2" type="noConversion"/>
  </si>
  <si>
    <t>LightTS</t>
    <phoneticPr fontId="2" type="noConversion"/>
  </si>
  <si>
    <t>MTS-Mixer</t>
    <phoneticPr fontId="2" type="noConversion"/>
  </si>
  <si>
    <t>TimesNet</t>
    <phoneticPr fontId="2" type="noConversion"/>
  </si>
  <si>
    <t>ModernTCN</t>
    <phoneticPr fontId="2" type="noConversion"/>
  </si>
  <si>
    <t>TSLANet</t>
    <phoneticPr fontId="2" type="noConversion"/>
  </si>
  <si>
    <t>TimeMixer++</t>
    <phoneticPr fontId="2" type="noConversion"/>
  </si>
  <si>
    <t>FEDformer</t>
    <phoneticPr fontId="2" type="noConversion"/>
  </si>
  <si>
    <t>ETSformer</t>
    <phoneticPr fontId="2" type="noConversion"/>
  </si>
  <si>
    <t>PatchTST</t>
    <phoneticPr fontId="2" type="noConversion"/>
  </si>
  <si>
    <t>GPT4TS</t>
    <phoneticPr fontId="2" type="noConversion"/>
  </si>
  <si>
    <t>iTransformer</t>
    <phoneticPr fontId="2" type="noConversion"/>
  </si>
  <si>
    <t>TSCMamba</t>
    <phoneticPr fontId="2" type="noConversion"/>
  </si>
  <si>
    <t>MR+Hydra</t>
    <phoneticPr fontId="2" type="noConversion"/>
  </si>
  <si>
    <t>HC2</t>
    <phoneticPr fontId="2" type="noConversion"/>
  </si>
  <si>
    <t>non-DL</t>
    <phoneticPr fontId="2" type="noConversion"/>
  </si>
  <si>
    <t>EC</t>
    <phoneticPr fontId="2" type="noConversion"/>
  </si>
  <si>
    <t>JV</t>
    <phoneticPr fontId="2" type="noConversion"/>
  </si>
  <si>
    <t>PEMS</t>
    <phoneticPr fontId="2" type="noConversion"/>
  </si>
  <si>
    <t>SRS1</t>
    <phoneticPr fontId="2" type="noConversion"/>
  </si>
  <si>
    <t>SRS2</t>
    <phoneticPr fontId="2" type="noConversion"/>
  </si>
  <si>
    <t>SAD</t>
    <phoneticPr fontId="2" type="noConversion"/>
  </si>
  <si>
    <t>UW</t>
    <phoneticPr fontId="2" type="noConversion"/>
  </si>
  <si>
    <t>CT</t>
    <phoneticPr fontId="2" type="noConversion"/>
  </si>
  <si>
    <t>ER</t>
    <phoneticPr fontId="2" type="noConversion"/>
  </si>
  <si>
    <t>IW</t>
    <phoneticPr fontId="2" type="noConversion"/>
  </si>
  <si>
    <t>NATO</t>
    <phoneticPr fontId="2" type="noConversion"/>
  </si>
  <si>
    <t>avg. acc (10)</t>
    <phoneticPr fontId="2" type="noConversion"/>
  </si>
  <si>
    <t>avg. acc</t>
    <phoneticPr fontId="2" type="noConversion"/>
  </si>
  <si>
    <t>MLP-based</t>
    <phoneticPr fontId="2" type="noConversion"/>
  </si>
  <si>
    <t>CNN-based</t>
  </si>
  <si>
    <t>CNN-based</t>
    <phoneticPr fontId="2" type="noConversion"/>
  </si>
  <si>
    <t>Transformer-based</t>
    <phoneticPr fontId="2" type="noConversion"/>
  </si>
  <si>
    <t>Mamba-based</t>
    <phoneticPr fontId="2" type="noConversion"/>
  </si>
  <si>
    <t>InterpGN</t>
    <phoneticPr fontId="2" type="noConversion"/>
  </si>
  <si>
    <t>\# of top-1</t>
    <phoneticPr fontId="2" type="noConversion"/>
  </si>
  <si>
    <t>\# of top-5</t>
    <phoneticPr fontId="2" type="noConversion"/>
  </si>
  <si>
    <t>\# of top-10</t>
    <phoneticPr fontId="2" type="noConversion"/>
  </si>
  <si>
    <t>Crossformer</t>
    <phoneticPr fontId="2" type="noConversion"/>
  </si>
  <si>
    <t>shape-based</t>
    <phoneticPr fontId="2" type="noConversion"/>
  </si>
  <si>
    <t>Dataset</t>
    <phoneticPr fontId="2" type="noConversion"/>
  </si>
  <si>
    <t>Wilcoxon test</t>
    <phoneticPr fontId="2" type="noConversion"/>
  </si>
  <si>
    <t>DTW_D
\citeyearpar{}</t>
    <phoneticPr fontId="2" type="noConversion"/>
  </si>
  <si>
    <t>ROCKET
\citeyearpar{}</t>
    <phoneticPr fontId="2" type="noConversion"/>
  </si>
  <si>
    <t>HC2
\citeyearpar{}</t>
    <phoneticPr fontId="2" type="noConversion"/>
  </si>
  <si>
    <t>Hydra
\citeyearpar{}</t>
    <phoneticPr fontId="2" type="noConversion"/>
  </si>
  <si>
    <t>MR+Hydra
\citeyearpar{}</t>
    <phoneticPr fontId="2" type="noConversion"/>
  </si>
  <si>
    <t>Dlinear
\citeyearpar{}</t>
    <phoneticPr fontId="2" type="noConversion"/>
  </si>
  <si>
    <t>LightTS
\citeyearpar{}</t>
    <phoneticPr fontId="2" type="noConversion"/>
  </si>
  <si>
    <t>MTS-Mixer
\citeyearpar{}</t>
    <phoneticPr fontId="2" type="noConversion"/>
  </si>
  <si>
    <t>TimesNet
\citeyearpar{}</t>
    <phoneticPr fontId="2" type="noConversion"/>
  </si>
  <si>
    <t>ModernTCN
\citeyearpar{}</t>
    <phoneticPr fontId="2" type="noConversion"/>
  </si>
  <si>
    <t>TSLANet
\citeyearpar{}</t>
    <phoneticPr fontId="2" type="noConversion"/>
  </si>
  <si>
    <t>TimeMixer++
\citeyearpar{}</t>
    <phoneticPr fontId="2" type="noConversion"/>
  </si>
  <si>
    <t>FEDformer
\citeyearpar{}</t>
    <phoneticPr fontId="2" type="noConversion"/>
  </si>
  <si>
    <t>ETSformer
\citeyearpar{}</t>
    <phoneticPr fontId="2" type="noConversion"/>
  </si>
  <si>
    <t>Crossformer
\citeyearpar{}</t>
    <phoneticPr fontId="2" type="noConversion"/>
  </si>
  <si>
    <t>PatchTST
\citeyearpar{}</t>
    <phoneticPr fontId="2" type="noConversion"/>
  </si>
  <si>
    <t>GPT4TS
\citeyearpar{}</t>
    <phoneticPr fontId="2" type="noConversion"/>
  </si>
  <si>
    <t>iTransformer
\citeyearpar{}</t>
    <phoneticPr fontId="2" type="noConversion"/>
  </si>
  <si>
    <t>InterpGN
\citeyearpar{}</t>
    <phoneticPr fontId="2" type="noConversion"/>
  </si>
  <si>
    <t>TSCMamba
\citeyearpar{}</t>
    <phoneticPr fontId="2" type="noConversion"/>
  </si>
  <si>
    <t>MambaSL
\citeyearpar{}</t>
    <phoneticPr fontId="2" type="noConversion"/>
  </si>
  <si>
    <t>01</t>
  </si>
  <si>
    <t>EC</t>
  </si>
  <si>
    <t>EthanolConcentration</t>
  </si>
  <si>
    <t>02</t>
  </si>
  <si>
    <t>FaceDetection</t>
  </si>
  <si>
    <t>03</t>
  </si>
  <si>
    <t>Handwriting</t>
  </si>
  <si>
    <t>04</t>
  </si>
  <si>
    <t>Heartbeat</t>
  </si>
  <si>
    <t>05</t>
  </si>
  <si>
    <t>JV</t>
  </si>
  <si>
    <t>JapaneseVowels</t>
  </si>
  <si>
    <t>06</t>
  </si>
  <si>
    <t>PEMS</t>
  </si>
  <si>
    <t>PEMS-SF</t>
  </si>
  <si>
    <t>07</t>
  </si>
  <si>
    <t>SRS1</t>
  </si>
  <si>
    <t>SelfRegulationSCP1</t>
  </si>
  <si>
    <t>08</t>
  </si>
  <si>
    <t>SRS2</t>
  </si>
  <si>
    <t>SelfRegulationSCP2</t>
  </si>
  <si>
    <t>09</t>
  </si>
  <si>
    <t>SAD</t>
  </si>
  <si>
    <t>SpokenArabicDigits</t>
  </si>
  <si>
    <t>10</t>
  </si>
  <si>
    <t>UW</t>
  </si>
  <si>
    <t>UWaveGestureLibrary</t>
  </si>
  <si>
    <t>11</t>
  </si>
  <si>
    <t>ArticularyWordRecognition</t>
  </si>
  <si>
    <t>12</t>
  </si>
  <si>
    <t>AtrialFibrillation</t>
  </si>
  <si>
    <t>13</t>
  </si>
  <si>
    <t>BasicMotions</t>
  </si>
  <si>
    <t>14</t>
  </si>
  <si>
    <t>CT</t>
  </si>
  <si>
    <t>CharacterTrajectories</t>
  </si>
  <si>
    <t>15</t>
  </si>
  <si>
    <t>Cricket</t>
  </si>
  <si>
    <t>16</t>
  </si>
  <si>
    <t>DuckDuckGeese</t>
  </si>
  <si>
    <t>17</t>
  </si>
  <si>
    <t>EigenWorms</t>
  </si>
  <si>
    <t>18</t>
  </si>
  <si>
    <t>Epilepsy</t>
  </si>
  <si>
    <t>19</t>
  </si>
  <si>
    <t>ER</t>
  </si>
  <si>
    <t>ERing</t>
  </si>
  <si>
    <t>20</t>
  </si>
  <si>
    <t>FingerMovements</t>
  </si>
  <si>
    <t>21</t>
  </si>
  <si>
    <t>HandMovementDirection</t>
  </si>
  <si>
    <t>22</t>
  </si>
  <si>
    <t>IW</t>
  </si>
  <si>
    <t>InsectWingbeat</t>
  </si>
  <si>
    <t>23</t>
  </si>
  <si>
    <t>Libras</t>
  </si>
  <si>
    <t>24</t>
  </si>
  <si>
    <t>25</t>
  </si>
  <si>
    <t>MotorImagery</t>
  </si>
  <si>
    <t>26</t>
  </si>
  <si>
    <t>NATO</t>
  </si>
  <si>
    <t>NATOPS</t>
  </si>
  <si>
    <t>27</t>
  </si>
  <si>
    <t>PenDigits</t>
  </si>
  <si>
    <t>28</t>
  </si>
  <si>
    <t>PhonemeSpectra</t>
  </si>
  <si>
    <t>29</t>
  </si>
  <si>
    <t>RacketSports</t>
  </si>
  <si>
    <t>30</t>
  </si>
  <si>
    <t>StandWalkJump</t>
  </si>
  <si>
    <t>\texttt{</t>
    <phoneticPr fontId="2" type="noConversion"/>
  </si>
  <si>
    <t>}</t>
    <phoneticPr fontId="2" type="noConversion"/>
  </si>
  <si>
    <t>\texttt{ EC }</t>
  </si>
  <si>
    <t>\texttt{ FD }</t>
  </si>
  <si>
    <t>\texttt{ HW }</t>
  </si>
  <si>
    <t>\texttt{ HB }</t>
  </si>
  <si>
    <t>\texttt{ JV }</t>
  </si>
  <si>
    <t>\texttt{ PEMS }</t>
  </si>
  <si>
    <t>\texttt{ SRS1 }</t>
  </si>
  <si>
    <t>\texttt{ SRS2 }</t>
  </si>
  <si>
    <t>\texttt{ SAD }</t>
  </si>
  <si>
    <t>\texttt{ UW }</t>
  </si>
  <si>
    <t>\texttt{ AWR }</t>
  </si>
  <si>
    <t>\texttt{ AF }</t>
  </si>
  <si>
    <t>\texttt{ BM }</t>
  </si>
  <si>
    <t>\texttt{ CT }</t>
  </si>
  <si>
    <t>\texttt{ CR }</t>
  </si>
  <si>
    <t>\texttt{ DDG }</t>
  </si>
  <si>
    <t>\texttt{ EW }</t>
  </si>
  <si>
    <t>\texttt{ EP }</t>
  </si>
  <si>
    <t>\texttt{ ER }</t>
  </si>
  <si>
    <t>\texttt{ FM }</t>
  </si>
  <si>
    <t>\texttt{ HMD }</t>
  </si>
  <si>
    <t>\texttt{ IW }</t>
  </si>
  <si>
    <t>\texttt{ LIB }</t>
  </si>
  <si>
    <t>\texttt{ LSST }</t>
  </si>
  <si>
    <t>\texttt{ MI }</t>
  </si>
  <si>
    <t>\texttt{ NATO }</t>
  </si>
  <si>
    <t>\texttt{ PD }</t>
  </si>
  <si>
    <t>\texttt{ PS }</t>
  </si>
  <si>
    <t>\texttt{ RS }</t>
  </si>
  <si>
    <t>\texttt{ SWJ }</t>
  </si>
  <si>
    <t>Code</t>
    <phoneticPr fontId="2" type="noConversion"/>
  </si>
  <si>
    <t>Train Size</t>
    <phoneticPr fontId="2" type="noConversion"/>
  </si>
  <si>
    <t>Test Size</t>
    <phoneticPr fontId="2" type="noConversion"/>
  </si>
  <si>
    <t>Classes ($d_\mathrm{y}$)</t>
    <phoneticPr fontId="2" type="noConversion"/>
  </si>
  <si>
    <t>Length ($L$)</t>
    <phoneticPr fontId="2" type="noConversion"/>
  </si>
  <si>
    <t>Variables ($d_\mathrm{x}$)</t>
    <phoneticPr fontId="2" type="noConversion"/>
  </si>
  <si>
    <t>7--29</t>
    <phoneticPr fontId="2" type="noConversion"/>
  </si>
  <si>
    <t>60--182</t>
    <phoneticPr fontId="2" type="noConversion"/>
  </si>
  <si>
    <t>2--22</t>
    <phoneticPr fontId="2" type="noConversion"/>
  </si>
  <si>
    <t>4--93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</si>
</sst>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_);[Red]\(0.000\)"/>
  </numFmts>
  <fonts count="1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12"/>
      <color theme="1"/>
      <name val="Helvetica"/>
      <family val="2"/>
    </font>
    <font>
      <sz val="12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4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right" vertical="center"/>
    </xf>
    <xf numFmtId="176" fontId="0" fillId="0" borderId="0" xfId="0" applyNumberFormat="1" applyFont="1" applyAlignment="1">
      <alignment horizontal="right" vertical="center"/>
    </xf>
    <xf numFmtId="176" fontId="12" fillId="0" borderId="0" xfId="0" applyNumberFormat="1" applyFont="1" applyAlignment="1">
      <alignment horizontal="right" vertical="center"/>
    </xf>
  </cellXfs>
  <cellStyles count="1">
    <cellStyle name="표준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21</xdr:row>
      <xdr:rowOff>13548</xdr:rowOff>
    </xdr:from>
    <xdr:to>
      <xdr:col>6</xdr:col>
      <xdr:colOff>759258</xdr:colOff>
      <xdr:row>22</xdr:row>
      <xdr:rowOff>5136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C77DCF7-E108-BA4E-8A9A-50088F972549}"/>
            </a:ext>
          </a:extLst>
        </xdr:cNvPr>
        <xdr:cNvSpPr/>
      </xdr:nvSpPr>
      <xdr:spPr>
        <a:xfrm>
          <a:off x="5041901" y="5284048"/>
          <a:ext cx="759257" cy="22018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10</xdr:col>
      <xdr:colOff>844</xdr:colOff>
      <xdr:row>10</xdr:row>
      <xdr:rowOff>4781</xdr:rowOff>
    </xdr:from>
    <xdr:to>
      <xdr:col>10</xdr:col>
      <xdr:colOff>760102</xdr:colOff>
      <xdr:row>11</xdr:row>
      <xdr:rowOff>1016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9BDC293-8A94-9842-A595-6624AE5B046E}"/>
            </a:ext>
          </a:extLst>
        </xdr:cNvPr>
        <xdr:cNvSpPr/>
      </xdr:nvSpPr>
      <xdr:spPr>
        <a:xfrm>
          <a:off x="8090744" y="2760681"/>
          <a:ext cx="759258" cy="22483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7</xdr:col>
      <xdr:colOff>211</xdr:colOff>
      <xdr:row>21</xdr:row>
      <xdr:rowOff>13548</xdr:rowOff>
    </xdr:from>
    <xdr:to>
      <xdr:col>7</xdr:col>
      <xdr:colOff>759469</xdr:colOff>
      <xdr:row>22</xdr:row>
      <xdr:rowOff>5136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1CB4EE3-E730-CA48-A6B3-C81DEA14C475}"/>
            </a:ext>
          </a:extLst>
        </xdr:cNvPr>
        <xdr:cNvSpPr/>
      </xdr:nvSpPr>
      <xdr:spPr>
        <a:xfrm>
          <a:off x="5804111" y="5284048"/>
          <a:ext cx="759258" cy="22018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8</xdr:col>
      <xdr:colOff>422</xdr:colOff>
      <xdr:row>20</xdr:row>
      <xdr:rowOff>13031</xdr:rowOff>
    </xdr:from>
    <xdr:to>
      <xdr:col>8</xdr:col>
      <xdr:colOff>759680</xdr:colOff>
      <xdr:row>21</xdr:row>
      <xdr:rowOff>4617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CB0F745D-8E3A-2840-9BBC-1F28CF938E3B}"/>
            </a:ext>
          </a:extLst>
        </xdr:cNvPr>
        <xdr:cNvSpPr/>
      </xdr:nvSpPr>
      <xdr:spPr>
        <a:xfrm>
          <a:off x="6566322" y="5054931"/>
          <a:ext cx="759258" cy="22018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15</xdr:col>
      <xdr:colOff>1899</xdr:colOff>
      <xdr:row>10</xdr:row>
      <xdr:rowOff>4781</xdr:rowOff>
    </xdr:from>
    <xdr:to>
      <xdr:col>16</xdr:col>
      <xdr:colOff>592</xdr:colOff>
      <xdr:row>11</xdr:row>
      <xdr:rowOff>1016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1BC8E580-B84A-BC41-81BD-0131AC29EA49}"/>
            </a:ext>
          </a:extLst>
        </xdr:cNvPr>
        <xdr:cNvSpPr/>
      </xdr:nvSpPr>
      <xdr:spPr>
        <a:xfrm>
          <a:off x="11901799" y="2760681"/>
          <a:ext cx="760693" cy="22483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15</xdr:col>
      <xdr:colOff>1899</xdr:colOff>
      <xdr:row>20</xdr:row>
      <xdr:rowOff>13031</xdr:rowOff>
    </xdr:from>
    <xdr:to>
      <xdr:col>16</xdr:col>
      <xdr:colOff>592</xdr:colOff>
      <xdr:row>21</xdr:row>
      <xdr:rowOff>4617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1C7FD45-2847-634A-BBFA-CF8A5EE5F2BD}"/>
            </a:ext>
          </a:extLst>
        </xdr:cNvPr>
        <xdr:cNvSpPr/>
      </xdr:nvSpPr>
      <xdr:spPr>
        <a:xfrm>
          <a:off x="11901799" y="5054931"/>
          <a:ext cx="760693" cy="22018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15</xdr:col>
      <xdr:colOff>1899</xdr:colOff>
      <xdr:row>29</xdr:row>
      <xdr:rowOff>17695</xdr:rowOff>
    </xdr:from>
    <xdr:to>
      <xdr:col>16</xdr:col>
      <xdr:colOff>592</xdr:colOff>
      <xdr:row>30</xdr:row>
      <xdr:rowOff>9282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7FF40547-BFA7-B749-9588-DD866289575D}"/>
            </a:ext>
          </a:extLst>
        </xdr:cNvPr>
        <xdr:cNvSpPr/>
      </xdr:nvSpPr>
      <xdr:spPr>
        <a:xfrm>
          <a:off x="11901799" y="7116995"/>
          <a:ext cx="760693" cy="22018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13</xdr:col>
      <xdr:colOff>1476</xdr:colOff>
      <xdr:row>21</xdr:row>
      <xdr:rowOff>13548</xdr:rowOff>
    </xdr:from>
    <xdr:to>
      <xdr:col>14</xdr:col>
      <xdr:colOff>169</xdr:colOff>
      <xdr:row>22</xdr:row>
      <xdr:rowOff>5136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2AF9631E-CA41-E049-9F52-29DEAF7B8DE4}"/>
            </a:ext>
          </a:extLst>
        </xdr:cNvPr>
        <xdr:cNvSpPr/>
      </xdr:nvSpPr>
      <xdr:spPr>
        <a:xfrm>
          <a:off x="10377376" y="5284048"/>
          <a:ext cx="760693" cy="22018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16</xdr:col>
      <xdr:colOff>2110</xdr:colOff>
      <xdr:row>20</xdr:row>
      <xdr:rowOff>13031</xdr:rowOff>
    </xdr:from>
    <xdr:to>
      <xdr:col>17</xdr:col>
      <xdr:colOff>802</xdr:colOff>
      <xdr:row>21</xdr:row>
      <xdr:rowOff>4617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834E5A0C-2015-5A45-AE60-F03C98BECFF5}"/>
            </a:ext>
          </a:extLst>
        </xdr:cNvPr>
        <xdr:cNvSpPr/>
      </xdr:nvSpPr>
      <xdr:spPr>
        <a:xfrm>
          <a:off x="12664010" y="5054931"/>
          <a:ext cx="760692" cy="22018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16</xdr:col>
      <xdr:colOff>2110</xdr:colOff>
      <xdr:row>10</xdr:row>
      <xdr:rowOff>4781</xdr:rowOff>
    </xdr:from>
    <xdr:to>
      <xdr:col>17</xdr:col>
      <xdr:colOff>802</xdr:colOff>
      <xdr:row>11</xdr:row>
      <xdr:rowOff>1016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747F44CB-060E-2642-9069-9A03E3C0E57C}"/>
            </a:ext>
          </a:extLst>
        </xdr:cNvPr>
        <xdr:cNvSpPr/>
      </xdr:nvSpPr>
      <xdr:spPr>
        <a:xfrm>
          <a:off x="12664010" y="2760681"/>
          <a:ext cx="760692" cy="22483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15</xdr:col>
      <xdr:colOff>1899</xdr:colOff>
      <xdr:row>21</xdr:row>
      <xdr:rowOff>13548</xdr:rowOff>
    </xdr:from>
    <xdr:to>
      <xdr:col>16</xdr:col>
      <xdr:colOff>592</xdr:colOff>
      <xdr:row>22</xdr:row>
      <xdr:rowOff>5136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B5714938-BE91-FA4C-B1D9-0A6A9CE09AD5}"/>
            </a:ext>
          </a:extLst>
        </xdr:cNvPr>
        <xdr:cNvSpPr/>
      </xdr:nvSpPr>
      <xdr:spPr>
        <a:xfrm>
          <a:off x="11901799" y="5284048"/>
          <a:ext cx="760693" cy="22018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9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21</xdr:col>
      <xdr:colOff>3163</xdr:colOff>
      <xdr:row>21</xdr:row>
      <xdr:rowOff>13548</xdr:rowOff>
    </xdr:from>
    <xdr:to>
      <xdr:col>22</xdr:col>
      <xdr:colOff>7174</xdr:colOff>
      <xdr:row>22</xdr:row>
      <xdr:rowOff>5136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5E0B2960-A196-4C45-8ECC-9E256CCD28F3}"/>
            </a:ext>
          </a:extLst>
        </xdr:cNvPr>
        <xdr:cNvSpPr/>
      </xdr:nvSpPr>
      <xdr:spPr>
        <a:xfrm>
          <a:off x="16475063" y="5284048"/>
          <a:ext cx="854911" cy="22018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18</xdr:col>
      <xdr:colOff>2531</xdr:colOff>
      <xdr:row>10</xdr:row>
      <xdr:rowOff>4905</xdr:rowOff>
    </xdr:from>
    <xdr:to>
      <xdr:col>19</xdr:col>
      <xdr:colOff>1224</xdr:colOff>
      <xdr:row>11</xdr:row>
      <xdr:rowOff>4679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91FC8407-6F80-9946-BC04-EA4F6A65D8EF}"/>
            </a:ext>
          </a:extLst>
        </xdr:cNvPr>
        <xdr:cNvSpPr/>
      </xdr:nvSpPr>
      <xdr:spPr>
        <a:xfrm>
          <a:off x="14188431" y="2760805"/>
          <a:ext cx="760693" cy="22837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759258</xdr:colOff>
      <xdr:row>20</xdr:row>
      <xdr:rowOff>232833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9F5A1D03-8D9B-3341-8CB6-5474DA355125}"/>
            </a:ext>
          </a:extLst>
        </xdr:cNvPr>
        <xdr:cNvSpPr/>
      </xdr:nvSpPr>
      <xdr:spPr>
        <a:xfrm>
          <a:off x="14185900" y="5041900"/>
          <a:ext cx="759258" cy="232833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14</xdr:col>
      <xdr:colOff>0</xdr:colOff>
      <xdr:row>29</xdr:row>
      <xdr:rowOff>7848</xdr:rowOff>
    </xdr:from>
    <xdr:to>
      <xdr:col>14</xdr:col>
      <xdr:colOff>759258</xdr:colOff>
      <xdr:row>29</xdr:row>
      <xdr:rowOff>232268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B5B7B2B-779E-6043-B815-648C64430BBA}"/>
            </a:ext>
          </a:extLst>
        </xdr:cNvPr>
        <xdr:cNvSpPr/>
      </xdr:nvSpPr>
      <xdr:spPr>
        <a:xfrm>
          <a:off x="11137900" y="7107148"/>
          <a:ext cx="759258" cy="2244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14</xdr:col>
      <xdr:colOff>0</xdr:colOff>
      <xdr:row>34</xdr:row>
      <xdr:rowOff>7848</xdr:rowOff>
    </xdr:from>
    <xdr:to>
      <xdr:col>14</xdr:col>
      <xdr:colOff>759258</xdr:colOff>
      <xdr:row>34</xdr:row>
      <xdr:rowOff>232268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E000C633-DB5B-9A45-B868-46B71061C895}"/>
            </a:ext>
          </a:extLst>
        </xdr:cNvPr>
        <xdr:cNvSpPr/>
      </xdr:nvSpPr>
      <xdr:spPr>
        <a:xfrm>
          <a:off x="11137900" y="8250148"/>
          <a:ext cx="759258" cy="2244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10</xdr:col>
      <xdr:colOff>0</xdr:colOff>
      <xdr:row>20</xdr:row>
      <xdr:rowOff>1</xdr:rowOff>
    </xdr:from>
    <xdr:to>
      <xdr:col>10</xdr:col>
      <xdr:colOff>759257</xdr:colOff>
      <xdr:row>21</xdr:row>
      <xdr:rowOff>1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BC4D4B36-CC4C-9A4A-8F14-121E64D39D4D}"/>
            </a:ext>
          </a:extLst>
        </xdr:cNvPr>
        <xdr:cNvSpPr/>
      </xdr:nvSpPr>
      <xdr:spPr>
        <a:xfrm>
          <a:off x="8089900" y="5041901"/>
          <a:ext cx="759257" cy="2286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12</xdr:col>
      <xdr:colOff>0</xdr:colOff>
      <xdr:row>21</xdr:row>
      <xdr:rowOff>7847</xdr:rowOff>
    </xdr:from>
    <xdr:to>
      <xdr:col>12</xdr:col>
      <xdr:colOff>759257</xdr:colOff>
      <xdr:row>21</xdr:row>
      <xdr:rowOff>232268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725B38E1-973C-6742-A52E-907CEE02E62F}"/>
            </a:ext>
          </a:extLst>
        </xdr:cNvPr>
        <xdr:cNvSpPr/>
      </xdr:nvSpPr>
      <xdr:spPr>
        <a:xfrm>
          <a:off x="9613900" y="5278347"/>
          <a:ext cx="759257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19</xdr:col>
      <xdr:colOff>0</xdr:colOff>
      <xdr:row>21</xdr:row>
      <xdr:rowOff>7847</xdr:rowOff>
    </xdr:from>
    <xdr:to>
      <xdr:col>19</xdr:col>
      <xdr:colOff>759257</xdr:colOff>
      <xdr:row>21</xdr:row>
      <xdr:rowOff>232268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4579C68-D11E-CF41-A091-5B5F02193D28}"/>
            </a:ext>
          </a:extLst>
        </xdr:cNvPr>
        <xdr:cNvSpPr/>
      </xdr:nvSpPr>
      <xdr:spPr>
        <a:xfrm>
          <a:off x="14947900" y="5278347"/>
          <a:ext cx="759257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19</xdr:col>
      <xdr:colOff>0</xdr:colOff>
      <xdr:row>20</xdr:row>
      <xdr:rowOff>1</xdr:rowOff>
    </xdr:from>
    <xdr:to>
      <xdr:col>19</xdr:col>
      <xdr:colOff>759257</xdr:colOff>
      <xdr:row>21</xdr:row>
      <xdr:rowOff>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8055EDF1-A6C7-644E-962D-3DA845427810}"/>
            </a:ext>
          </a:extLst>
        </xdr:cNvPr>
        <xdr:cNvSpPr/>
      </xdr:nvSpPr>
      <xdr:spPr>
        <a:xfrm>
          <a:off x="14947900" y="5041901"/>
          <a:ext cx="759257" cy="2286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19</xdr:col>
      <xdr:colOff>0</xdr:colOff>
      <xdr:row>29</xdr:row>
      <xdr:rowOff>7847</xdr:rowOff>
    </xdr:from>
    <xdr:to>
      <xdr:col>19</xdr:col>
      <xdr:colOff>759257</xdr:colOff>
      <xdr:row>29</xdr:row>
      <xdr:rowOff>232268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103ED1E7-D3D8-6845-88E4-791233883AA1}"/>
            </a:ext>
          </a:extLst>
        </xdr:cNvPr>
        <xdr:cNvSpPr/>
      </xdr:nvSpPr>
      <xdr:spPr>
        <a:xfrm>
          <a:off x="14947900" y="7107147"/>
          <a:ext cx="759257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14</xdr:col>
      <xdr:colOff>0</xdr:colOff>
      <xdr:row>21</xdr:row>
      <xdr:rowOff>7847</xdr:rowOff>
    </xdr:from>
    <xdr:to>
      <xdr:col>14</xdr:col>
      <xdr:colOff>760693</xdr:colOff>
      <xdr:row>21</xdr:row>
      <xdr:rowOff>232268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D1B5C2BD-E919-9041-BF94-87A716C1BEF4}"/>
            </a:ext>
          </a:extLst>
        </xdr:cNvPr>
        <xdr:cNvSpPr/>
      </xdr:nvSpPr>
      <xdr:spPr>
        <a:xfrm>
          <a:off x="11137900" y="5278347"/>
          <a:ext cx="760693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20</xdr:col>
      <xdr:colOff>0</xdr:colOff>
      <xdr:row>26</xdr:row>
      <xdr:rowOff>0</xdr:rowOff>
    </xdr:from>
    <xdr:to>
      <xdr:col>20</xdr:col>
      <xdr:colOff>759257</xdr:colOff>
      <xdr:row>27</xdr:row>
      <xdr:rowOff>1124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3F4D2393-3377-6249-8D56-1F3590EA83AB}"/>
            </a:ext>
          </a:extLst>
        </xdr:cNvPr>
        <xdr:cNvSpPr/>
      </xdr:nvSpPr>
      <xdr:spPr>
        <a:xfrm>
          <a:off x="15812198" y="6126703"/>
          <a:ext cx="759257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21</xdr:row>
      <xdr:rowOff>13548</xdr:rowOff>
    </xdr:from>
    <xdr:to>
      <xdr:col>6</xdr:col>
      <xdr:colOff>759258</xdr:colOff>
      <xdr:row>22</xdr:row>
      <xdr:rowOff>5136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B5CB3661-42CD-C846-BBF2-D2F7C0B739EE}"/>
            </a:ext>
          </a:extLst>
        </xdr:cNvPr>
        <xdr:cNvSpPr/>
      </xdr:nvSpPr>
      <xdr:spPr>
        <a:xfrm>
          <a:off x="5037668" y="5368715"/>
          <a:ext cx="759257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10</xdr:col>
      <xdr:colOff>844</xdr:colOff>
      <xdr:row>10</xdr:row>
      <xdr:rowOff>4781</xdr:rowOff>
    </xdr:from>
    <xdr:to>
      <xdr:col>10</xdr:col>
      <xdr:colOff>760102</xdr:colOff>
      <xdr:row>11</xdr:row>
      <xdr:rowOff>1016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A6C55739-1606-0146-AEBF-7BB9B974AC6C}"/>
            </a:ext>
          </a:extLst>
        </xdr:cNvPr>
        <xdr:cNvSpPr/>
      </xdr:nvSpPr>
      <xdr:spPr>
        <a:xfrm>
          <a:off x="8086511" y="2798781"/>
          <a:ext cx="759258" cy="2290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7</xdr:col>
      <xdr:colOff>211</xdr:colOff>
      <xdr:row>21</xdr:row>
      <xdr:rowOff>13548</xdr:rowOff>
    </xdr:from>
    <xdr:to>
      <xdr:col>7</xdr:col>
      <xdr:colOff>759469</xdr:colOff>
      <xdr:row>22</xdr:row>
      <xdr:rowOff>5136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E463988A-D56E-0B45-A40F-4F1682087F28}"/>
            </a:ext>
          </a:extLst>
        </xdr:cNvPr>
        <xdr:cNvSpPr/>
      </xdr:nvSpPr>
      <xdr:spPr>
        <a:xfrm>
          <a:off x="5799878" y="5368715"/>
          <a:ext cx="759258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8</xdr:col>
      <xdr:colOff>422</xdr:colOff>
      <xdr:row>20</xdr:row>
      <xdr:rowOff>13031</xdr:rowOff>
    </xdr:from>
    <xdr:to>
      <xdr:col>8</xdr:col>
      <xdr:colOff>759680</xdr:colOff>
      <xdr:row>21</xdr:row>
      <xdr:rowOff>4617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4654E9F6-7DD4-FD4B-AEB7-C2640F094AE7}"/>
            </a:ext>
          </a:extLst>
        </xdr:cNvPr>
        <xdr:cNvSpPr/>
      </xdr:nvSpPr>
      <xdr:spPr>
        <a:xfrm>
          <a:off x="6562089" y="5135364"/>
          <a:ext cx="759258" cy="2244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15</xdr:col>
      <xdr:colOff>1899</xdr:colOff>
      <xdr:row>10</xdr:row>
      <xdr:rowOff>4781</xdr:rowOff>
    </xdr:from>
    <xdr:to>
      <xdr:col>16</xdr:col>
      <xdr:colOff>592</xdr:colOff>
      <xdr:row>11</xdr:row>
      <xdr:rowOff>1016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D691951E-0488-C642-83BE-194D1C3F35A1}"/>
            </a:ext>
          </a:extLst>
        </xdr:cNvPr>
        <xdr:cNvSpPr/>
      </xdr:nvSpPr>
      <xdr:spPr>
        <a:xfrm>
          <a:off x="11897566" y="2798781"/>
          <a:ext cx="760693" cy="2290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15</xdr:col>
      <xdr:colOff>1899</xdr:colOff>
      <xdr:row>20</xdr:row>
      <xdr:rowOff>13031</xdr:rowOff>
    </xdr:from>
    <xdr:to>
      <xdr:col>16</xdr:col>
      <xdr:colOff>592</xdr:colOff>
      <xdr:row>21</xdr:row>
      <xdr:rowOff>4617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A02795C1-D41A-0B4A-92F3-3A1944383DEC}"/>
            </a:ext>
          </a:extLst>
        </xdr:cNvPr>
        <xdr:cNvSpPr/>
      </xdr:nvSpPr>
      <xdr:spPr>
        <a:xfrm>
          <a:off x="11897566" y="5135364"/>
          <a:ext cx="760693" cy="2244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15</xdr:col>
      <xdr:colOff>1899</xdr:colOff>
      <xdr:row>29</xdr:row>
      <xdr:rowOff>17695</xdr:rowOff>
    </xdr:from>
    <xdr:to>
      <xdr:col>16</xdr:col>
      <xdr:colOff>592</xdr:colOff>
      <xdr:row>30</xdr:row>
      <xdr:rowOff>9282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B07655DB-8B67-8742-8086-FE23C6046539}"/>
            </a:ext>
          </a:extLst>
        </xdr:cNvPr>
        <xdr:cNvSpPr/>
      </xdr:nvSpPr>
      <xdr:spPr>
        <a:xfrm>
          <a:off x="11897566" y="7235528"/>
          <a:ext cx="760693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13</xdr:col>
      <xdr:colOff>1476</xdr:colOff>
      <xdr:row>21</xdr:row>
      <xdr:rowOff>13548</xdr:rowOff>
    </xdr:from>
    <xdr:to>
      <xdr:col>14</xdr:col>
      <xdr:colOff>169</xdr:colOff>
      <xdr:row>22</xdr:row>
      <xdr:rowOff>5136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D7844EDF-6A45-9548-912E-1344FF136973}"/>
            </a:ext>
          </a:extLst>
        </xdr:cNvPr>
        <xdr:cNvSpPr/>
      </xdr:nvSpPr>
      <xdr:spPr>
        <a:xfrm>
          <a:off x="10373143" y="5368715"/>
          <a:ext cx="760693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16</xdr:col>
      <xdr:colOff>2110</xdr:colOff>
      <xdr:row>20</xdr:row>
      <xdr:rowOff>13031</xdr:rowOff>
    </xdr:from>
    <xdr:to>
      <xdr:col>17</xdr:col>
      <xdr:colOff>802</xdr:colOff>
      <xdr:row>21</xdr:row>
      <xdr:rowOff>4617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B21D9EC6-404D-3E40-9269-B5D3B9E607E7}"/>
            </a:ext>
          </a:extLst>
        </xdr:cNvPr>
        <xdr:cNvSpPr/>
      </xdr:nvSpPr>
      <xdr:spPr>
        <a:xfrm>
          <a:off x="12659777" y="5135364"/>
          <a:ext cx="760692" cy="2244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16</xdr:col>
      <xdr:colOff>2110</xdr:colOff>
      <xdr:row>10</xdr:row>
      <xdr:rowOff>4781</xdr:rowOff>
    </xdr:from>
    <xdr:to>
      <xdr:col>17</xdr:col>
      <xdr:colOff>802</xdr:colOff>
      <xdr:row>11</xdr:row>
      <xdr:rowOff>1016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E5A2E80D-C232-3948-B7B2-A0A4C886AFFB}"/>
            </a:ext>
          </a:extLst>
        </xdr:cNvPr>
        <xdr:cNvSpPr/>
      </xdr:nvSpPr>
      <xdr:spPr>
        <a:xfrm>
          <a:off x="12659777" y="2798781"/>
          <a:ext cx="760692" cy="22906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15</xdr:col>
      <xdr:colOff>1899</xdr:colOff>
      <xdr:row>21</xdr:row>
      <xdr:rowOff>13548</xdr:rowOff>
    </xdr:from>
    <xdr:to>
      <xdr:col>16</xdr:col>
      <xdr:colOff>592</xdr:colOff>
      <xdr:row>22</xdr:row>
      <xdr:rowOff>5136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75FE2371-AFD6-A741-8D2D-77F8B26A614B}"/>
            </a:ext>
          </a:extLst>
        </xdr:cNvPr>
        <xdr:cNvSpPr/>
      </xdr:nvSpPr>
      <xdr:spPr>
        <a:xfrm>
          <a:off x="11897566" y="5368715"/>
          <a:ext cx="760693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9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21</xdr:col>
      <xdr:colOff>3163</xdr:colOff>
      <xdr:row>21</xdr:row>
      <xdr:rowOff>13548</xdr:rowOff>
    </xdr:from>
    <xdr:to>
      <xdr:col>22</xdr:col>
      <xdr:colOff>7174</xdr:colOff>
      <xdr:row>22</xdr:row>
      <xdr:rowOff>5136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EC652AF6-AF2B-7F4D-99A6-7DDA33A99540}"/>
            </a:ext>
          </a:extLst>
        </xdr:cNvPr>
        <xdr:cNvSpPr/>
      </xdr:nvSpPr>
      <xdr:spPr>
        <a:xfrm>
          <a:off x="16470830" y="5368715"/>
          <a:ext cx="850677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18</xdr:col>
      <xdr:colOff>2531</xdr:colOff>
      <xdr:row>10</xdr:row>
      <xdr:rowOff>4905</xdr:rowOff>
    </xdr:from>
    <xdr:to>
      <xdr:col>19</xdr:col>
      <xdr:colOff>1224</xdr:colOff>
      <xdr:row>11</xdr:row>
      <xdr:rowOff>4679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1A5F8C3E-DF22-424C-81C3-2F7846929EF3}"/>
            </a:ext>
          </a:extLst>
        </xdr:cNvPr>
        <xdr:cNvSpPr/>
      </xdr:nvSpPr>
      <xdr:spPr>
        <a:xfrm>
          <a:off x="14184198" y="2798905"/>
          <a:ext cx="760693" cy="23260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759258</xdr:colOff>
      <xdr:row>20</xdr:row>
      <xdr:rowOff>232833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2C7B9B0F-F420-FA48-A4CE-0696C22DE57E}"/>
            </a:ext>
          </a:extLst>
        </xdr:cNvPr>
        <xdr:cNvSpPr/>
      </xdr:nvSpPr>
      <xdr:spPr>
        <a:xfrm>
          <a:off x="14181667" y="5122333"/>
          <a:ext cx="759258" cy="232833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14</xdr:col>
      <xdr:colOff>0</xdr:colOff>
      <xdr:row>29</xdr:row>
      <xdr:rowOff>7848</xdr:rowOff>
    </xdr:from>
    <xdr:to>
      <xdr:col>14</xdr:col>
      <xdr:colOff>759258</xdr:colOff>
      <xdr:row>29</xdr:row>
      <xdr:rowOff>232268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5920CA77-2011-334B-8D24-C8EF6C825400}"/>
            </a:ext>
          </a:extLst>
        </xdr:cNvPr>
        <xdr:cNvSpPr/>
      </xdr:nvSpPr>
      <xdr:spPr>
        <a:xfrm>
          <a:off x="11133667" y="7225681"/>
          <a:ext cx="759258" cy="2244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14</xdr:col>
      <xdr:colOff>0</xdr:colOff>
      <xdr:row>34</xdr:row>
      <xdr:rowOff>7848</xdr:rowOff>
    </xdr:from>
    <xdr:to>
      <xdr:col>14</xdr:col>
      <xdr:colOff>759258</xdr:colOff>
      <xdr:row>34</xdr:row>
      <xdr:rowOff>232268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A1C70546-589A-9F44-8851-17FAA9134115}"/>
            </a:ext>
          </a:extLst>
        </xdr:cNvPr>
        <xdr:cNvSpPr/>
      </xdr:nvSpPr>
      <xdr:spPr>
        <a:xfrm>
          <a:off x="11133667" y="8389848"/>
          <a:ext cx="759258" cy="2244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10</xdr:col>
      <xdr:colOff>0</xdr:colOff>
      <xdr:row>20</xdr:row>
      <xdr:rowOff>1</xdr:rowOff>
    </xdr:from>
    <xdr:to>
      <xdr:col>10</xdr:col>
      <xdr:colOff>759257</xdr:colOff>
      <xdr:row>21</xdr:row>
      <xdr:rowOff>1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97EFF292-4D55-7F4D-A4FE-8A8E4A9EC78A}"/>
            </a:ext>
          </a:extLst>
        </xdr:cNvPr>
        <xdr:cNvSpPr/>
      </xdr:nvSpPr>
      <xdr:spPr>
        <a:xfrm>
          <a:off x="8085667" y="5122334"/>
          <a:ext cx="759257" cy="23283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12</xdr:col>
      <xdr:colOff>0</xdr:colOff>
      <xdr:row>21</xdr:row>
      <xdr:rowOff>7847</xdr:rowOff>
    </xdr:from>
    <xdr:to>
      <xdr:col>12</xdr:col>
      <xdr:colOff>759257</xdr:colOff>
      <xdr:row>21</xdr:row>
      <xdr:rowOff>232268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A8D6A056-4B8D-044F-B315-FBA7CBC57A59}"/>
            </a:ext>
          </a:extLst>
        </xdr:cNvPr>
        <xdr:cNvSpPr/>
      </xdr:nvSpPr>
      <xdr:spPr>
        <a:xfrm>
          <a:off x="9609667" y="5363014"/>
          <a:ext cx="759257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19</xdr:col>
      <xdr:colOff>0</xdr:colOff>
      <xdr:row>21</xdr:row>
      <xdr:rowOff>7847</xdr:rowOff>
    </xdr:from>
    <xdr:to>
      <xdr:col>19</xdr:col>
      <xdr:colOff>759257</xdr:colOff>
      <xdr:row>21</xdr:row>
      <xdr:rowOff>232268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EA077AB2-9E6E-734F-94D3-04C4A158ED83}"/>
            </a:ext>
          </a:extLst>
        </xdr:cNvPr>
        <xdr:cNvSpPr/>
      </xdr:nvSpPr>
      <xdr:spPr>
        <a:xfrm>
          <a:off x="14943667" y="5363014"/>
          <a:ext cx="759257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19</xdr:col>
      <xdr:colOff>0</xdr:colOff>
      <xdr:row>20</xdr:row>
      <xdr:rowOff>1</xdr:rowOff>
    </xdr:from>
    <xdr:to>
      <xdr:col>19</xdr:col>
      <xdr:colOff>759257</xdr:colOff>
      <xdr:row>21</xdr:row>
      <xdr:rowOff>1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5695FB8F-4389-104C-B9BE-EC51D2E220FA}"/>
            </a:ext>
          </a:extLst>
        </xdr:cNvPr>
        <xdr:cNvSpPr/>
      </xdr:nvSpPr>
      <xdr:spPr>
        <a:xfrm>
          <a:off x="14943667" y="5122334"/>
          <a:ext cx="759257" cy="23283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19</xdr:col>
      <xdr:colOff>0</xdr:colOff>
      <xdr:row>29</xdr:row>
      <xdr:rowOff>7847</xdr:rowOff>
    </xdr:from>
    <xdr:to>
      <xdr:col>19</xdr:col>
      <xdr:colOff>759257</xdr:colOff>
      <xdr:row>29</xdr:row>
      <xdr:rowOff>232268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481B1B5A-3D4B-9D49-BFCC-50E0E88A7AA1}"/>
            </a:ext>
          </a:extLst>
        </xdr:cNvPr>
        <xdr:cNvSpPr/>
      </xdr:nvSpPr>
      <xdr:spPr>
        <a:xfrm>
          <a:off x="14943667" y="7225680"/>
          <a:ext cx="759257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14</xdr:col>
      <xdr:colOff>0</xdr:colOff>
      <xdr:row>21</xdr:row>
      <xdr:rowOff>7847</xdr:rowOff>
    </xdr:from>
    <xdr:to>
      <xdr:col>14</xdr:col>
      <xdr:colOff>760693</xdr:colOff>
      <xdr:row>21</xdr:row>
      <xdr:rowOff>232268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5C09B97A-7331-A540-A478-15B9F361DDEF}"/>
            </a:ext>
          </a:extLst>
        </xdr:cNvPr>
        <xdr:cNvSpPr/>
      </xdr:nvSpPr>
      <xdr:spPr>
        <a:xfrm>
          <a:off x="11133667" y="5363014"/>
          <a:ext cx="760693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20</xdr:col>
      <xdr:colOff>0</xdr:colOff>
      <xdr:row>26</xdr:row>
      <xdr:rowOff>0</xdr:rowOff>
    </xdr:from>
    <xdr:to>
      <xdr:col>20</xdr:col>
      <xdr:colOff>759257</xdr:colOff>
      <xdr:row>27</xdr:row>
      <xdr:rowOff>1124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5ABE177-712A-9F43-BE7C-C7EC3C66C4E2}"/>
            </a:ext>
          </a:extLst>
        </xdr:cNvPr>
        <xdr:cNvSpPr/>
      </xdr:nvSpPr>
      <xdr:spPr>
        <a:xfrm>
          <a:off x="15812198" y="6475604"/>
          <a:ext cx="759257" cy="2244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rgbClr val="FF0000"/>
              </a:solidFill>
            </a:rPr>
            <a:t>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4DD4-D3D6-E34C-96EB-D688997A9C8F}">
  <dimension ref="A4:V143"/>
  <sheetViews>
    <sheetView tabSelected="1" zoomScale="91" zoomScaleNormal="91" workbookViewId="0">
      <pane xSplit="1" topLeftCell="N1" activePane="topRight" state="frozen"/>
      <selection activeCell="A3" sqref="A3"/>
      <selection pane="topRight" activeCell="U13" sqref="U13"/>
    </sheetView>
  </sheetViews>
  <sheetFormatPr baseColWidth="10" defaultRowHeight="18"/>
  <cols>
    <col min="1" max="1" width="13.85546875" bestFit="1" customWidth="1"/>
    <col min="2" max="21" width="8.5703125" customWidth="1"/>
    <col min="22" max="22" width="9.5703125" customWidth="1"/>
  </cols>
  <sheetData>
    <row r="4" spans="1:22" ht="43" customHeight="1">
      <c r="B4" s="26" t="s">
        <v>41</v>
      </c>
      <c r="C4" s="26"/>
      <c r="D4" s="26"/>
      <c r="E4" s="26"/>
      <c r="F4" s="26"/>
      <c r="G4" s="26" t="s">
        <v>55</v>
      </c>
      <c r="H4" s="26"/>
      <c r="I4" s="26"/>
      <c r="J4" s="26" t="s">
        <v>57</v>
      </c>
      <c r="K4" s="26"/>
      <c r="L4" s="27" t="s">
        <v>56</v>
      </c>
      <c r="M4" s="27"/>
      <c r="N4" s="26" t="s">
        <v>58</v>
      </c>
      <c r="O4" s="26"/>
      <c r="P4" s="26"/>
      <c r="Q4" s="26"/>
      <c r="R4" s="26"/>
      <c r="S4" s="26"/>
      <c r="T4" s="1" t="s">
        <v>65</v>
      </c>
      <c r="U4" s="26" t="s">
        <v>59</v>
      </c>
      <c r="V4" s="26"/>
    </row>
    <row r="5" spans="1:22">
      <c r="A5" t="s">
        <v>66</v>
      </c>
      <c r="B5" s="11" t="s">
        <v>23</v>
      </c>
      <c r="C5" s="11" t="s">
        <v>24</v>
      </c>
      <c r="D5" s="11" t="s">
        <v>40</v>
      </c>
      <c r="E5" s="11" t="s">
        <v>25</v>
      </c>
      <c r="F5" s="11" t="s">
        <v>39</v>
      </c>
      <c r="G5" s="12" t="s">
        <v>26</v>
      </c>
      <c r="H5" s="11" t="s">
        <v>27</v>
      </c>
      <c r="I5" s="11" t="s">
        <v>28</v>
      </c>
      <c r="J5" s="11" t="s">
        <v>29</v>
      </c>
      <c r="K5" s="12" t="s">
        <v>30</v>
      </c>
      <c r="L5" s="11" t="s">
        <v>31</v>
      </c>
      <c r="M5" s="11" t="s">
        <v>32</v>
      </c>
      <c r="N5" s="11" t="s">
        <v>33</v>
      </c>
      <c r="O5" s="11" t="s">
        <v>34</v>
      </c>
      <c r="P5" s="11" t="s">
        <v>64</v>
      </c>
      <c r="Q5" s="12" t="s">
        <v>35</v>
      </c>
      <c r="R5" s="12" t="s">
        <v>36</v>
      </c>
      <c r="S5" s="12" t="s">
        <v>37</v>
      </c>
      <c r="T5" s="11" t="s">
        <v>60</v>
      </c>
      <c r="U5" s="11" t="s">
        <v>38</v>
      </c>
      <c r="V5" s="20" t="s">
        <v>0</v>
      </c>
    </row>
    <row r="6" spans="1:22">
      <c r="A6" s="9" t="s">
        <v>42</v>
      </c>
      <c r="B6" s="2">
        <v>32.319391634980988</v>
      </c>
      <c r="C6" s="2">
        <v>44.486692015209123</v>
      </c>
      <c r="D6" s="2">
        <v>52.851711026615966</v>
      </c>
      <c r="E6" s="3">
        <v>54.372623574144484</v>
      </c>
      <c r="F6" s="4">
        <v>60.076045627376431</v>
      </c>
      <c r="G6" s="2">
        <v>31.178707224334602</v>
      </c>
      <c r="H6" s="2">
        <v>32.319391634980988</v>
      </c>
      <c r="I6" s="2">
        <v>30.798479087452474</v>
      </c>
      <c r="J6" s="2">
        <v>33.460076045627375</v>
      </c>
      <c r="K6" s="2">
        <v>32.319391634980988</v>
      </c>
      <c r="L6" s="2">
        <v>31.939163498098861</v>
      </c>
      <c r="M6" s="2">
        <v>34.600760456273768</v>
      </c>
      <c r="N6" s="2">
        <v>33.840304182509506</v>
      </c>
      <c r="O6" s="2">
        <v>33.079847908745244</v>
      </c>
      <c r="P6" s="2">
        <v>43.346007604562736</v>
      </c>
      <c r="Q6" s="2">
        <v>32.699619771863119</v>
      </c>
      <c r="R6" s="2">
        <v>32.319391634980988</v>
      </c>
      <c r="S6" s="2">
        <v>31.939163498098861</v>
      </c>
      <c r="T6" s="2">
        <v>28.897338403041822</v>
      </c>
      <c r="U6" s="2">
        <v>30.798479087452474</v>
      </c>
      <c r="V6" s="2">
        <v>42.585551330798474</v>
      </c>
    </row>
    <row r="7" spans="1:22">
      <c r="A7" s="9" t="s">
        <v>1</v>
      </c>
      <c r="B7" s="2">
        <v>52.86606129398411</v>
      </c>
      <c r="C7" s="2">
        <v>61.606129398410893</v>
      </c>
      <c r="D7" s="2">
        <v>61.379114642451761</v>
      </c>
      <c r="E7" s="2">
        <v>60.981838819523269</v>
      </c>
      <c r="F7" s="2">
        <v>61.293984108967081</v>
      </c>
      <c r="G7" s="2">
        <v>69.494892167990912</v>
      </c>
      <c r="H7" s="2">
        <v>68.473325766174796</v>
      </c>
      <c r="I7" s="2">
        <v>68.530079455164582</v>
      </c>
      <c r="J7" s="3">
        <v>70.147559591373437</v>
      </c>
      <c r="K7" s="2">
        <v>66.997729852440415</v>
      </c>
      <c r="L7" s="2">
        <v>66.969353007945514</v>
      </c>
      <c r="M7" s="2">
        <v>69.665153234960272</v>
      </c>
      <c r="N7" s="2">
        <v>69.892167990919404</v>
      </c>
      <c r="O7" s="2">
        <v>68.33144154370035</v>
      </c>
      <c r="P7" s="2">
        <v>69.636776390465386</v>
      </c>
      <c r="Q7" s="2">
        <v>68.076049943246304</v>
      </c>
      <c r="R7" s="2">
        <v>68.615209988649255</v>
      </c>
      <c r="S7" s="2">
        <v>68.416572077185009</v>
      </c>
      <c r="T7" s="2">
        <v>63.791146424517599</v>
      </c>
      <c r="U7" s="4">
        <v>70.204313280363223</v>
      </c>
      <c r="V7" s="2">
        <v>69.29625425652668</v>
      </c>
    </row>
    <row r="8" spans="1:22">
      <c r="A8" s="9" t="s">
        <v>2</v>
      </c>
      <c r="B8" s="2">
        <v>60.705882352941174</v>
      </c>
      <c r="C8" s="2">
        <v>59.294117647058819</v>
      </c>
      <c r="D8" s="2">
        <v>56.000000000000007</v>
      </c>
      <c r="E8" s="2">
        <v>56.35294117647058</v>
      </c>
      <c r="F8" s="2">
        <v>53.529411764705884</v>
      </c>
      <c r="G8" s="2">
        <v>23.764705882352942</v>
      </c>
      <c r="H8" s="2">
        <v>25.058823529411768</v>
      </c>
      <c r="I8" s="2">
        <v>19.647058823529413</v>
      </c>
      <c r="J8" s="2">
        <v>37.529411764705884</v>
      </c>
      <c r="K8" s="2">
        <v>30.117647058823525</v>
      </c>
      <c r="L8" s="4">
        <v>62</v>
      </c>
      <c r="M8" s="2">
        <v>33.647058823529413</v>
      </c>
      <c r="N8" s="2">
        <v>33.411764705882355</v>
      </c>
      <c r="O8" s="2">
        <v>35.647058823529406</v>
      </c>
      <c r="P8" s="2">
        <v>30.352941176470587</v>
      </c>
      <c r="Q8" s="2">
        <v>29.52941176470588</v>
      </c>
      <c r="R8" s="2">
        <v>34.117647058823529</v>
      </c>
      <c r="S8" s="2">
        <v>31.294117647058822</v>
      </c>
      <c r="T8" s="2">
        <v>58.705882352941174</v>
      </c>
      <c r="U8" s="2">
        <v>45.058823529411761</v>
      </c>
      <c r="V8" s="3">
        <v>60.82352941176471</v>
      </c>
    </row>
    <row r="9" spans="1:22">
      <c r="A9" s="9" t="s">
        <v>3</v>
      </c>
      <c r="B9" s="2">
        <v>71.707317073170728</v>
      </c>
      <c r="C9" s="2">
        <v>75.609756097560975</v>
      </c>
      <c r="D9" s="2">
        <v>78.536585365853668</v>
      </c>
      <c r="E9" s="2">
        <v>76.585365853658544</v>
      </c>
      <c r="F9" s="2">
        <v>77.073170731707322</v>
      </c>
      <c r="G9" s="2">
        <v>76.585365853658544</v>
      </c>
      <c r="H9" s="2">
        <v>77.560975609756099</v>
      </c>
      <c r="I9" s="2">
        <v>79.024390243902445</v>
      </c>
      <c r="J9" s="4">
        <v>83.902439024390247</v>
      </c>
      <c r="K9" s="2">
        <v>78.048780487804876</v>
      </c>
      <c r="L9" s="2">
        <v>79.512195121951223</v>
      </c>
      <c r="M9" s="3">
        <v>80.487804878048792</v>
      </c>
      <c r="N9" s="2">
        <v>78.048780487804876</v>
      </c>
      <c r="O9" s="2">
        <v>78.536585365853668</v>
      </c>
      <c r="P9" s="2">
        <v>79.024390243902445</v>
      </c>
      <c r="Q9" s="2">
        <v>73.658536585365852</v>
      </c>
      <c r="R9" s="2">
        <v>79.024390243902445</v>
      </c>
      <c r="S9" s="2">
        <v>78.048780487804876</v>
      </c>
      <c r="T9" s="3">
        <v>80.487804878048792</v>
      </c>
      <c r="U9" s="2">
        <v>78.536585365853668</v>
      </c>
      <c r="V9" s="2">
        <v>80</v>
      </c>
    </row>
    <row r="10" spans="1:22">
      <c r="A10" s="9" t="s">
        <v>43</v>
      </c>
      <c r="B10" s="2">
        <v>95.945945945945937</v>
      </c>
      <c r="C10" s="2">
        <v>83.78378378378379</v>
      </c>
      <c r="D10" s="2">
        <v>98.378378378378386</v>
      </c>
      <c r="E10" s="2">
        <v>97.837837837837839</v>
      </c>
      <c r="F10" s="2">
        <v>98.378378378378386</v>
      </c>
      <c r="G10" s="2">
        <v>96.486486486486484</v>
      </c>
      <c r="H10" s="2">
        <v>96.756756756756758</v>
      </c>
      <c r="I10" s="2">
        <v>95.945945945945937</v>
      </c>
      <c r="J10" s="2">
        <v>98.648648648648646</v>
      </c>
      <c r="K10" s="2">
        <v>98.648648648648646</v>
      </c>
      <c r="L10" s="2">
        <v>98.918918918918919</v>
      </c>
      <c r="M10" s="3">
        <v>99.189189189189193</v>
      </c>
      <c r="N10" s="2">
        <v>97.567567567567565</v>
      </c>
      <c r="O10" s="2">
        <v>98.378378378378386</v>
      </c>
      <c r="P10" s="2">
        <v>98.378378378378386</v>
      </c>
      <c r="Q10" s="2">
        <v>97.027027027027017</v>
      </c>
      <c r="R10" s="2">
        <v>98.108108108108098</v>
      </c>
      <c r="S10" s="2">
        <v>98.108108108108098</v>
      </c>
      <c r="T10" s="4">
        <v>99.729729729729726</v>
      </c>
      <c r="U10" s="2">
        <v>98.378378378378386</v>
      </c>
      <c r="V10" s="2">
        <v>98.648648648648646</v>
      </c>
    </row>
    <row r="11" spans="1:22">
      <c r="A11" s="9" t="s">
        <v>44</v>
      </c>
      <c r="B11" s="2">
        <v>71.098265895953759</v>
      </c>
      <c r="C11" s="2">
        <v>84.393063583815035</v>
      </c>
      <c r="D11" s="3">
        <v>97.687861271676297</v>
      </c>
      <c r="E11" s="4">
        <v>98.265895953757223</v>
      </c>
      <c r="F11" s="2">
        <v>82.658959537572258</v>
      </c>
      <c r="G11" s="2">
        <v>82.658959537572258</v>
      </c>
      <c r="H11" s="2">
        <v>87.861271676300575</v>
      </c>
      <c r="I11" s="2">
        <v>82.080924855491332</v>
      </c>
      <c r="J11" s="2">
        <v>87.861271676300575</v>
      </c>
      <c r="K11" s="2">
        <v>86.705202312138724</v>
      </c>
      <c r="L11" s="2">
        <v>89.017341040462426</v>
      </c>
      <c r="M11" s="2">
        <v>89.017341040462426</v>
      </c>
      <c r="N11" s="2">
        <v>89.017341040462426</v>
      </c>
      <c r="O11" s="2">
        <v>87.861271676300575</v>
      </c>
      <c r="P11" s="2">
        <v>89.595375722543352</v>
      </c>
      <c r="Q11" s="2">
        <v>89.017341040462426</v>
      </c>
      <c r="R11" s="2">
        <v>88.439306358381501</v>
      </c>
      <c r="S11" s="2">
        <v>91.329479768786129</v>
      </c>
      <c r="T11" s="2">
        <v>86.127167630057798</v>
      </c>
      <c r="U11" s="2">
        <v>90.173410404624278</v>
      </c>
      <c r="V11" s="2">
        <v>85.549132947976886</v>
      </c>
    </row>
    <row r="12" spans="1:22">
      <c r="A12" s="9" t="s">
        <v>45</v>
      </c>
      <c r="B12" s="2">
        <v>77.474402730375431</v>
      </c>
      <c r="C12" s="2">
        <v>85.665529010238899</v>
      </c>
      <c r="D12" s="2">
        <v>89.078498293515366</v>
      </c>
      <c r="E12" s="2">
        <v>86.689419795221852</v>
      </c>
      <c r="F12" s="4">
        <v>94.88054607508532</v>
      </c>
      <c r="G12" s="2">
        <v>92.832764505119457</v>
      </c>
      <c r="H12" s="2">
        <v>92.832764505119457</v>
      </c>
      <c r="I12" s="2">
        <v>78.839590443686006</v>
      </c>
      <c r="J12" s="2">
        <v>92.150170648464169</v>
      </c>
      <c r="K12" s="2">
        <v>93.515358361774744</v>
      </c>
      <c r="L12" s="2">
        <v>89.761092150170654</v>
      </c>
      <c r="M12" s="2">
        <v>92.150170648464169</v>
      </c>
      <c r="N12" s="2">
        <v>75.085324232081902</v>
      </c>
      <c r="O12" s="2">
        <v>92.150170648464169</v>
      </c>
      <c r="P12" s="3">
        <v>93.856655290102381</v>
      </c>
      <c r="Q12" s="2">
        <v>89.078498293515366</v>
      </c>
      <c r="R12" s="2">
        <v>93.174061433447093</v>
      </c>
      <c r="S12" s="3">
        <v>93.856655290102381</v>
      </c>
      <c r="T12" s="2">
        <v>90.443686006825942</v>
      </c>
      <c r="U12" s="2">
        <v>92.832764505119457</v>
      </c>
      <c r="V12" s="2">
        <v>92.491467576791806</v>
      </c>
    </row>
    <row r="13" spans="1:22">
      <c r="A13" s="9" t="s">
        <v>46</v>
      </c>
      <c r="B13" s="2">
        <v>53.888888888888886</v>
      </c>
      <c r="C13" s="2">
        <v>55.555555555555557</v>
      </c>
      <c r="D13" s="2">
        <v>54.444444444444443</v>
      </c>
      <c r="E13" s="2">
        <v>58.888888888888893</v>
      </c>
      <c r="F13" s="2">
        <v>55.000000000000007</v>
      </c>
      <c r="G13" s="2">
        <v>57.222222222222221</v>
      </c>
      <c r="H13" s="2">
        <v>59.444444444444443</v>
      </c>
      <c r="I13" s="2">
        <v>58.333333333333336</v>
      </c>
      <c r="J13" s="2">
        <v>60</v>
      </c>
      <c r="K13" s="2">
        <v>60</v>
      </c>
      <c r="L13" s="3">
        <v>63.888888888888886</v>
      </c>
      <c r="M13" s="2">
        <v>60.55555555555555</v>
      </c>
      <c r="N13" s="2">
        <v>59.444444444444443</v>
      </c>
      <c r="O13" s="2">
        <v>60</v>
      </c>
      <c r="P13" s="2">
        <v>61.666666666666671</v>
      </c>
      <c r="Q13" s="2">
        <v>61.666666666666671</v>
      </c>
      <c r="R13" s="2">
        <v>60.55555555555555</v>
      </c>
      <c r="S13" s="2">
        <v>58.888888888888893</v>
      </c>
      <c r="T13" s="2">
        <v>58.333333333333336</v>
      </c>
      <c r="U13" s="2">
        <v>62.222222222222221</v>
      </c>
      <c r="V13" s="4">
        <v>65</v>
      </c>
    </row>
    <row r="14" spans="1:22">
      <c r="A14" s="9" t="s">
        <v>47</v>
      </c>
      <c r="B14" s="2">
        <v>97.226011823556163</v>
      </c>
      <c r="C14" s="2">
        <v>99.226921327876312</v>
      </c>
      <c r="D14" s="2">
        <v>99.13597089586176</v>
      </c>
      <c r="E14" s="2">
        <v>99.13597089586176</v>
      </c>
      <c r="F14" s="2">
        <v>99.045020463847194</v>
      </c>
      <c r="G14" s="2">
        <v>96.953160527512509</v>
      </c>
      <c r="H14" s="2">
        <v>98.226466575716231</v>
      </c>
      <c r="I14" s="2">
        <v>99.454297407912691</v>
      </c>
      <c r="J14" s="2">
        <v>99.545247839927242</v>
      </c>
      <c r="K14" s="2">
        <v>99.499772623919966</v>
      </c>
      <c r="L14" s="2">
        <v>98.044565711687127</v>
      </c>
      <c r="M14" s="2">
        <v>99.545247839927242</v>
      </c>
      <c r="N14" s="2">
        <v>99.454297407912691</v>
      </c>
      <c r="O14" s="2">
        <v>98.999545247839933</v>
      </c>
      <c r="P14" s="2">
        <v>98.863119599818091</v>
      </c>
      <c r="Q14" s="2">
        <v>98.817644383810816</v>
      </c>
      <c r="R14" s="2">
        <v>99.590723055934518</v>
      </c>
      <c r="S14" s="2">
        <v>99.317871759890863</v>
      </c>
      <c r="T14" s="3">
        <v>99.863574351978173</v>
      </c>
      <c r="U14" s="2">
        <v>95.8162801273306</v>
      </c>
      <c r="V14" s="4">
        <v>99.954524783992724</v>
      </c>
    </row>
    <row r="15" spans="1:22">
      <c r="A15" s="9" t="s">
        <v>48</v>
      </c>
      <c r="B15" s="2">
        <v>90.3125</v>
      </c>
      <c r="C15" s="2">
        <v>94.0625</v>
      </c>
      <c r="D15" s="2">
        <v>94.0625</v>
      </c>
      <c r="E15" s="3">
        <v>94.375</v>
      </c>
      <c r="F15" s="2">
        <v>94.0625</v>
      </c>
      <c r="G15" s="2">
        <v>82.8125</v>
      </c>
      <c r="H15" s="2">
        <v>89.0625</v>
      </c>
      <c r="I15" s="2">
        <v>83.125</v>
      </c>
      <c r="J15" s="2">
        <v>88.4375</v>
      </c>
      <c r="K15" s="2">
        <v>88.4375</v>
      </c>
      <c r="L15" s="3">
        <v>94.375</v>
      </c>
      <c r="M15" s="2">
        <v>90.625</v>
      </c>
      <c r="N15" s="2">
        <v>79.6875</v>
      </c>
      <c r="O15" s="2">
        <v>89.6875</v>
      </c>
      <c r="P15" s="2">
        <v>88.4375</v>
      </c>
      <c r="Q15" s="2">
        <v>89.375</v>
      </c>
      <c r="R15" s="2">
        <v>89.0625</v>
      </c>
      <c r="S15" s="2">
        <v>90</v>
      </c>
      <c r="T15" s="2">
        <v>88.4375</v>
      </c>
      <c r="U15" s="4">
        <v>95.3125</v>
      </c>
      <c r="V15" s="2">
        <v>93.4375</v>
      </c>
    </row>
    <row r="16" spans="1:22">
      <c r="A16" s="9" t="s">
        <v>4</v>
      </c>
      <c r="B16" s="2">
        <v>98.666666666666671</v>
      </c>
      <c r="C16" s="4">
        <v>99.333333333333329</v>
      </c>
      <c r="D16" s="4">
        <v>99.333333333333329</v>
      </c>
      <c r="E16" s="4">
        <v>99.333333333333329</v>
      </c>
      <c r="F16" s="4">
        <v>99.333333333333329</v>
      </c>
      <c r="G16" s="2">
        <v>97.666666666666671</v>
      </c>
      <c r="H16" s="2">
        <v>98.333333333333329</v>
      </c>
      <c r="I16" s="3">
        <v>99</v>
      </c>
      <c r="J16" s="2">
        <v>98.666666666666671</v>
      </c>
      <c r="K16" s="2">
        <v>98.666666666666671</v>
      </c>
      <c r="L16" s="4">
        <v>99.333333333333329</v>
      </c>
      <c r="M16" s="3">
        <v>99</v>
      </c>
      <c r="N16" s="2">
        <v>92.333333333333329</v>
      </c>
      <c r="O16" s="2">
        <v>98.666666666666671</v>
      </c>
      <c r="P16" s="2">
        <v>98.666666666666671</v>
      </c>
      <c r="Q16" s="2">
        <v>98.666666666666671</v>
      </c>
      <c r="R16" s="2">
        <v>98.666666666666671</v>
      </c>
      <c r="S16" s="3">
        <v>99</v>
      </c>
      <c r="T16" s="3">
        <v>99</v>
      </c>
      <c r="U16" s="4">
        <v>99.333333333333329</v>
      </c>
      <c r="V16" s="4">
        <v>99.333333333333329</v>
      </c>
    </row>
    <row r="17" spans="1:22">
      <c r="A17" s="9" t="s">
        <v>5</v>
      </c>
      <c r="B17" s="2">
        <v>20</v>
      </c>
      <c r="C17" s="2">
        <v>6.666666666666667</v>
      </c>
      <c r="D17" s="2">
        <v>20</v>
      </c>
      <c r="E17" s="2">
        <v>26.666666666666668</v>
      </c>
      <c r="F17" s="2">
        <v>6.666666666666667</v>
      </c>
      <c r="G17" s="2">
        <v>53.333333333333336</v>
      </c>
      <c r="H17" s="3">
        <v>73.333333333333329</v>
      </c>
      <c r="I17" s="2">
        <v>60</v>
      </c>
      <c r="J17" s="2">
        <v>66.666666666666657</v>
      </c>
      <c r="K17" s="3">
        <v>73.333333333333329</v>
      </c>
      <c r="L17" s="2">
        <v>66.666666666666657</v>
      </c>
      <c r="M17" s="2">
        <v>66.666666666666657</v>
      </c>
      <c r="N17" s="3">
        <v>73.333333333333329</v>
      </c>
      <c r="O17" s="4">
        <v>80</v>
      </c>
      <c r="P17" s="3">
        <v>73.333333333333329</v>
      </c>
      <c r="Q17" s="4">
        <v>80</v>
      </c>
      <c r="R17" s="2">
        <v>66.666666666666657</v>
      </c>
      <c r="S17" s="2">
        <v>66.666666666666657</v>
      </c>
      <c r="T17" s="2">
        <v>46.666666666666664</v>
      </c>
      <c r="U17" s="2">
        <v>66.666666666666657</v>
      </c>
      <c r="V17" s="2">
        <v>53.333333333333336</v>
      </c>
    </row>
    <row r="18" spans="1:22">
      <c r="A18" s="9" t="s">
        <v>6</v>
      </c>
      <c r="B18" s="3">
        <v>97.5</v>
      </c>
      <c r="C18" s="4">
        <v>100</v>
      </c>
      <c r="D18" s="4">
        <v>100</v>
      </c>
      <c r="E18" s="4">
        <v>100</v>
      </c>
      <c r="F18" s="4">
        <v>100</v>
      </c>
      <c r="G18" s="2">
        <v>87.5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  <c r="N18" s="2">
        <v>95</v>
      </c>
      <c r="O18" s="4">
        <v>100</v>
      </c>
      <c r="P18" s="4">
        <v>100</v>
      </c>
      <c r="Q18" s="2">
        <v>85</v>
      </c>
      <c r="R18" s="4">
        <v>100</v>
      </c>
      <c r="S18" s="3">
        <v>97.5</v>
      </c>
      <c r="T18" s="4">
        <v>100</v>
      </c>
      <c r="U18" s="4">
        <v>100</v>
      </c>
      <c r="V18" s="4">
        <v>100</v>
      </c>
    </row>
    <row r="19" spans="1:22">
      <c r="A19" s="9" t="s">
        <v>49</v>
      </c>
      <c r="B19" s="2">
        <v>98.816155988857929</v>
      </c>
      <c r="C19" s="2">
        <v>99.30362116991644</v>
      </c>
      <c r="D19" s="2">
        <v>99.30362116991644</v>
      </c>
      <c r="E19" s="2">
        <v>99.164345403899716</v>
      </c>
      <c r="F19" s="2">
        <v>99.373259052924794</v>
      </c>
      <c r="G19" s="2">
        <v>98.119777158774369</v>
      </c>
      <c r="H19" s="2">
        <v>98.955431754874652</v>
      </c>
      <c r="I19" s="2">
        <v>97.98050139275766</v>
      </c>
      <c r="J19" s="2">
        <v>98.746518105849574</v>
      </c>
      <c r="K19" s="2">
        <v>99.30362116991644</v>
      </c>
      <c r="L19" s="2">
        <v>99.164345403899716</v>
      </c>
      <c r="M19" s="2">
        <v>99.373259052924794</v>
      </c>
      <c r="N19" s="2">
        <v>97.284122562674085</v>
      </c>
      <c r="O19" s="2">
        <v>98.467966573816156</v>
      </c>
      <c r="P19" s="2">
        <v>98.955431754874652</v>
      </c>
      <c r="Q19" s="2">
        <v>98.398328690807801</v>
      </c>
      <c r="R19" s="2">
        <v>99.373259052924794</v>
      </c>
      <c r="S19" s="2">
        <v>98.885793871866284</v>
      </c>
      <c r="T19" s="4">
        <v>99.791086350974936</v>
      </c>
      <c r="U19" s="2">
        <v>99.512534818941504</v>
      </c>
      <c r="V19" s="3">
        <v>99.721448467966582</v>
      </c>
    </row>
    <row r="20" spans="1:22">
      <c r="A20" s="9" t="s">
        <v>7</v>
      </c>
      <c r="B20" s="4">
        <v>100</v>
      </c>
      <c r="C20" s="4">
        <v>100</v>
      </c>
      <c r="D20" s="4">
        <v>100</v>
      </c>
      <c r="E20" s="4">
        <v>100</v>
      </c>
      <c r="F20" s="3">
        <v>98.611111111111114</v>
      </c>
      <c r="G20" s="2">
        <v>91.666666666666657</v>
      </c>
      <c r="H20" s="2">
        <v>93.055555555555557</v>
      </c>
      <c r="I20" s="2">
        <v>97.222222222222214</v>
      </c>
      <c r="J20" s="2">
        <v>97.222222222222214</v>
      </c>
      <c r="K20" s="2">
        <v>97.222222222222214</v>
      </c>
      <c r="L20" s="2">
        <v>91.666666666666657</v>
      </c>
      <c r="M20" s="3">
        <v>98.611111111111114</v>
      </c>
      <c r="N20" s="2">
        <v>90.277777777777786</v>
      </c>
      <c r="O20" s="3">
        <v>98.611111111111114</v>
      </c>
      <c r="P20" s="2">
        <v>97.222222222222214</v>
      </c>
      <c r="Q20" s="2">
        <v>97.222222222222214</v>
      </c>
      <c r="R20" s="2">
        <v>97.222222222222214</v>
      </c>
      <c r="S20" s="2">
        <v>97.222222222222214</v>
      </c>
      <c r="T20" s="4">
        <v>100</v>
      </c>
      <c r="U20" s="4">
        <v>100</v>
      </c>
      <c r="V20" s="4">
        <v>100</v>
      </c>
    </row>
    <row r="21" spans="1:22">
      <c r="A21" s="9" t="s">
        <v>8</v>
      </c>
      <c r="B21" s="2">
        <v>57.999999999999993</v>
      </c>
      <c r="C21" s="2">
        <v>52</v>
      </c>
      <c r="D21" s="2">
        <v>70</v>
      </c>
      <c r="E21" s="2">
        <v>68</v>
      </c>
      <c r="F21" s="2">
        <v>60</v>
      </c>
      <c r="G21" s="2">
        <v>66</v>
      </c>
      <c r="H21" s="2">
        <v>56.000000000000007</v>
      </c>
      <c r="I21" s="2">
        <v>68</v>
      </c>
      <c r="J21" s="2">
        <v>68</v>
      </c>
      <c r="K21" s="2">
        <v>66</v>
      </c>
      <c r="L21" s="3">
        <v>74</v>
      </c>
      <c r="M21" s="3">
        <v>74</v>
      </c>
      <c r="N21" s="2">
        <v>42</v>
      </c>
      <c r="O21" s="2">
        <v>42</v>
      </c>
      <c r="P21" s="2">
        <v>72</v>
      </c>
      <c r="Q21" s="2">
        <v>40</v>
      </c>
      <c r="R21" s="2">
        <v>66</v>
      </c>
      <c r="S21" s="2">
        <v>60</v>
      </c>
      <c r="T21" s="4">
        <v>76</v>
      </c>
      <c r="U21" s="2">
        <v>50</v>
      </c>
      <c r="V21" s="2">
        <v>70</v>
      </c>
    </row>
    <row r="22" spans="1:22">
      <c r="A22" s="9" t="s">
        <v>9</v>
      </c>
      <c r="B22" s="2">
        <v>61.832061068702295</v>
      </c>
      <c r="C22" s="2">
        <v>91.603053435114504</v>
      </c>
      <c r="D22" s="3">
        <v>97.70992366412213</v>
      </c>
      <c r="E22" s="4">
        <v>98.473282442748086</v>
      </c>
      <c r="F22" s="4">
        <v>98.473282442748086</v>
      </c>
      <c r="G22" s="2">
        <v>42.748091603053432</v>
      </c>
      <c r="H22" s="2">
        <v>54.198473282442748</v>
      </c>
      <c r="I22" s="2">
        <v>66.412213740458014</v>
      </c>
      <c r="J22" s="2">
        <v>63.358778625954194</v>
      </c>
      <c r="K22" s="2">
        <v>64.122137404580144</v>
      </c>
      <c r="L22" s="2">
        <v>81.679389312977108</v>
      </c>
      <c r="M22" s="2">
        <v>61.068702290076338</v>
      </c>
      <c r="N22" s="2">
        <v>63.358778625954194</v>
      </c>
      <c r="O22" s="2">
        <v>70.992366412213741</v>
      </c>
      <c r="P22" s="2">
        <v>58.015267175572518</v>
      </c>
      <c r="Q22" s="2">
        <v>57.251908396946561</v>
      </c>
      <c r="R22" s="2">
        <v>66.412213740458014</v>
      </c>
      <c r="S22" s="2">
        <v>59.541984732824424</v>
      </c>
      <c r="T22" s="2">
        <v>82.44274809160305</v>
      </c>
      <c r="U22" s="2">
        <v>88.549618320610691</v>
      </c>
      <c r="V22" s="2">
        <v>83.969465648854964</v>
      </c>
    </row>
    <row r="23" spans="1:22">
      <c r="A23" s="9" t="s">
        <v>10</v>
      </c>
      <c r="B23" s="2">
        <v>96.376811594202891</v>
      </c>
      <c r="C23" s="3">
        <v>99.275362318840578</v>
      </c>
      <c r="D23" s="4">
        <v>100</v>
      </c>
      <c r="E23" s="4">
        <v>100</v>
      </c>
      <c r="F23" s="4">
        <v>100</v>
      </c>
      <c r="G23" s="2">
        <v>65.217391304347828</v>
      </c>
      <c r="H23" s="2">
        <v>97.101449275362313</v>
      </c>
      <c r="I23" s="2">
        <v>66.666666666666657</v>
      </c>
      <c r="J23" s="2">
        <v>96.376811594202891</v>
      </c>
      <c r="K23" s="2">
        <v>96.376811594202891</v>
      </c>
      <c r="L23" s="4">
        <v>100</v>
      </c>
      <c r="M23" s="2">
        <v>94.927536231884062</v>
      </c>
      <c r="N23" s="2">
        <v>92.753623188405797</v>
      </c>
      <c r="O23" s="2">
        <v>92.753623188405797</v>
      </c>
      <c r="P23" s="2">
        <v>95.652173913043484</v>
      </c>
      <c r="Q23" s="2">
        <v>98.550724637681171</v>
      </c>
      <c r="R23" s="2">
        <v>89.85507246376811</v>
      </c>
      <c r="S23" s="2">
        <v>80.434782608695656</v>
      </c>
      <c r="T23" s="2">
        <v>97.826086956521735</v>
      </c>
      <c r="U23" s="3">
        <v>99.275362318840578</v>
      </c>
      <c r="V23" s="2">
        <v>97.826086956521735</v>
      </c>
    </row>
    <row r="24" spans="1:22">
      <c r="A24" s="9" t="s">
        <v>50</v>
      </c>
      <c r="B24" s="2">
        <v>91.481481481481481</v>
      </c>
      <c r="C24" s="3">
        <v>98.888888888888886</v>
      </c>
      <c r="D24" s="3">
        <v>98.888888888888886</v>
      </c>
      <c r="E24" s="3">
        <v>98.888888888888886</v>
      </c>
      <c r="F24" s="4">
        <v>99.259259259259252</v>
      </c>
      <c r="G24" s="2">
        <v>91.851851851851848</v>
      </c>
      <c r="H24" s="2">
        <v>94.444444444444443</v>
      </c>
      <c r="I24" s="2">
        <v>77.777777777777786</v>
      </c>
      <c r="J24" s="2">
        <v>95.555555555555557</v>
      </c>
      <c r="K24" s="2">
        <v>97.407407407407405</v>
      </c>
      <c r="L24" s="2">
        <v>85.925925925925924</v>
      </c>
      <c r="M24" s="2">
        <v>96.296296296296291</v>
      </c>
      <c r="N24" s="2">
        <v>95.925925925925924</v>
      </c>
      <c r="O24" s="2">
        <v>96.296296296296291</v>
      </c>
      <c r="P24" s="2">
        <v>97.407407407407405</v>
      </c>
      <c r="Q24" s="2">
        <v>96.666666666666671</v>
      </c>
      <c r="R24" s="2">
        <v>96.296296296296291</v>
      </c>
      <c r="S24" s="2">
        <v>94.814814814814824</v>
      </c>
      <c r="T24" s="2">
        <v>87.777777777777771</v>
      </c>
      <c r="U24" s="2">
        <v>97.037037037037038</v>
      </c>
      <c r="V24" s="2">
        <v>93.703703703703695</v>
      </c>
    </row>
    <row r="25" spans="1:22">
      <c r="A25" s="9" t="s">
        <v>11</v>
      </c>
      <c r="B25" s="2">
        <v>53</v>
      </c>
      <c r="C25" s="2">
        <v>56.999999999999993</v>
      </c>
      <c r="D25" s="2">
        <v>61</v>
      </c>
      <c r="E25" s="2">
        <v>55.000000000000007</v>
      </c>
      <c r="F25" s="2">
        <v>60</v>
      </c>
      <c r="G25" s="2">
        <v>62</v>
      </c>
      <c r="H25" s="2">
        <v>64</v>
      </c>
      <c r="I25" s="2">
        <v>63</v>
      </c>
      <c r="J25" s="2">
        <v>66</v>
      </c>
      <c r="K25" s="2">
        <v>67</v>
      </c>
      <c r="L25" s="2">
        <v>68</v>
      </c>
      <c r="M25" s="2">
        <v>67</v>
      </c>
      <c r="N25" s="4">
        <v>72</v>
      </c>
      <c r="O25" s="2">
        <v>66</v>
      </c>
      <c r="P25" s="2">
        <v>64</v>
      </c>
      <c r="Q25" s="2">
        <v>63</v>
      </c>
      <c r="R25" s="2">
        <v>66</v>
      </c>
      <c r="S25" s="2">
        <v>64</v>
      </c>
      <c r="T25" s="2">
        <v>67</v>
      </c>
      <c r="U25" s="2">
        <v>66</v>
      </c>
      <c r="V25" s="3">
        <v>71</v>
      </c>
    </row>
    <row r="26" spans="1:22">
      <c r="A26" s="9" t="s">
        <v>12</v>
      </c>
      <c r="B26" s="2">
        <v>18.918918918918919</v>
      </c>
      <c r="C26" s="2">
        <v>51.351351351351347</v>
      </c>
      <c r="D26" s="2">
        <v>48.648648648648653</v>
      </c>
      <c r="E26" s="2">
        <v>51.351351351351347</v>
      </c>
      <c r="F26" s="2">
        <v>36.486486486486484</v>
      </c>
      <c r="G26" s="2">
        <v>66.21621621621621</v>
      </c>
      <c r="H26" s="2">
        <v>66.21621621621621</v>
      </c>
      <c r="I26" s="2">
        <v>70.270270270270274</v>
      </c>
      <c r="J26" s="4">
        <v>72.972972972972968</v>
      </c>
      <c r="K26" s="2">
        <v>66.21621621621621</v>
      </c>
      <c r="L26" s="2">
        <v>48.648648648648653</v>
      </c>
      <c r="M26" s="4">
        <v>72.972972972972968</v>
      </c>
      <c r="N26" s="3">
        <v>71.621621621621628</v>
      </c>
      <c r="O26" s="2">
        <v>63.513513513513509</v>
      </c>
      <c r="P26" s="2">
        <v>66.21621621621621</v>
      </c>
      <c r="Q26" s="2">
        <v>63.513513513513509</v>
      </c>
      <c r="R26" s="2">
        <v>70.270270270270274</v>
      </c>
      <c r="S26" s="2">
        <v>58.108108108108105</v>
      </c>
      <c r="T26" s="2">
        <v>45.945945945945951</v>
      </c>
      <c r="U26" s="2">
        <v>60.810810810810814</v>
      </c>
      <c r="V26" s="2">
        <v>70.270270270270274</v>
      </c>
    </row>
    <row r="27" spans="1:22">
      <c r="A27" s="9" t="s">
        <v>51</v>
      </c>
      <c r="B27" s="2">
        <v>48.692</v>
      </c>
      <c r="C27" s="2">
        <v>38.524000000000001</v>
      </c>
      <c r="D27" s="2">
        <v>66.796000000000006</v>
      </c>
      <c r="E27" s="2">
        <v>67.052000000000007</v>
      </c>
      <c r="F27" s="2">
        <v>65.744</v>
      </c>
      <c r="G27" s="2">
        <v>18.995999999999999</v>
      </c>
      <c r="H27" s="2">
        <v>71.676000000000002</v>
      </c>
      <c r="I27" s="2">
        <v>72.424000000000007</v>
      </c>
      <c r="J27" s="2">
        <v>64.024000000000001</v>
      </c>
      <c r="K27" s="4">
        <v>75.587999999999994</v>
      </c>
      <c r="L27" s="2">
        <v>10.012</v>
      </c>
      <c r="M27" s="2">
        <v>64.192000000000007</v>
      </c>
      <c r="N27" s="2">
        <v>65.244</v>
      </c>
      <c r="O27" s="2">
        <v>64.868000000000009</v>
      </c>
      <c r="P27" s="3">
        <v>73.712000000000003</v>
      </c>
      <c r="Q27" s="2">
        <v>60.936</v>
      </c>
      <c r="R27" s="2">
        <v>61.395999999999994</v>
      </c>
      <c r="S27" s="2">
        <v>73.436000000000007</v>
      </c>
      <c r="T27" s="2">
        <v>67.179999999999993</v>
      </c>
      <c r="U27" s="30">
        <v>68.244</v>
      </c>
      <c r="V27" s="2">
        <v>66.304000000000002</v>
      </c>
    </row>
    <row r="28" spans="1:22">
      <c r="A28" s="9" t="s">
        <v>13</v>
      </c>
      <c r="B28" s="2">
        <v>87.222222222222229</v>
      </c>
      <c r="C28" s="2">
        <v>90.555555555555557</v>
      </c>
      <c r="D28" s="2">
        <v>94.444444444444443</v>
      </c>
      <c r="E28" s="2">
        <v>93.333333333333329</v>
      </c>
      <c r="F28" s="2">
        <v>93.333333333333329</v>
      </c>
      <c r="G28" s="2">
        <v>70.555555555555557</v>
      </c>
      <c r="H28" s="2">
        <v>89.444444444444443</v>
      </c>
      <c r="I28" s="2">
        <v>34.444444444444443</v>
      </c>
      <c r="J28" s="2">
        <v>88.333333333333329</v>
      </c>
      <c r="K28" s="2">
        <v>90</v>
      </c>
      <c r="L28" s="3">
        <v>95.555555555555557</v>
      </c>
      <c r="M28" s="2">
        <v>88.333333333333329</v>
      </c>
      <c r="N28" s="2">
        <v>93.333333333333329</v>
      </c>
      <c r="O28" s="2">
        <v>90</v>
      </c>
      <c r="P28" s="2">
        <v>90.555555555555557</v>
      </c>
      <c r="Q28" s="2">
        <v>81.666666666666671</v>
      </c>
      <c r="R28" s="2">
        <v>87.777777777777771</v>
      </c>
      <c r="S28" s="2">
        <v>91.666666666666657</v>
      </c>
      <c r="T28" s="4">
        <v>97.222222222222214</v>
      </c>
      <c r="U28" s="2">
        <v>91.666666666666657</v>
      </c>
      <c r="V28" s="2">
        <v>91.666666666666657</v>
      </c>
    </row>
    <row r="29" spans="1:22">
      <c r="A29" s="9" t="s">
        <v>14</v>
      </c>
      <c r="B29" s="2">
        <v>55.109489051094897</v>
      </c>
      <c r="C29" s="2">
        <v>64.030819140308196</v>
      </c>
      <c r="D29" s="3">
        <v>66.38280616382805</v>
      </c>
      <c r="E29" s="4">
        <v>66.504460665044604</v>
      </c>
      <c r="F29" s="2">
        <v>64.274128142741276</v>
      </c>
      <c r="G29" s="2">
        <v>34.022708840227089</v>
      </c>
      <c r="H29" s="2">
        <v>41.524736415247368</v>
      </c>
      <c r="I29" s="2">
        <v>34.18491484184915</v>
      </c>
      <c r="J29" s="2">
        <v>44.120032441200323</v>
      </c>
      <c r="K29" s="2">
        <v>43.592862935928629</v>
      </c>
      <c r="L29" s="2">
        <v>51.013787510137874</v>
      </c>
      <c r="M29" s="2">
        <v>44.444444444444443</v>
      </c>
      <c r="N29" s="2">
        <v>40.997566909975667</v>
      </c>
      <c r="O29" s="2">
        <v>41.240875912408761</v>
      </c>
      <c r="P29" s="2">
        <v>41.768045417680455</v>
      </c>
      <c r="Q29" s="2">
        <v>56.731549067315491</v>
      </c>
      <c r="R29" s="2">
        <v>38.077858880778585</v>
      </c>
      <c r="S29" s="2">
        <v>40.673154906731554</v>
      </c>
      <c r="T29" s="2">
        <v>59.570154095701547</v>
      </c>
      <c r="U29" s="2">
        <v>60.056772100567727</v>
      </c>
      <c r="V29" s="2">
        <v>45.579886455798864</v>
      </c>
    </row>
    <row r="30" spans="1:22">
      <c r="A30" s="9" t="s">
        <v>15</v>
      </c>
      <c r="B30" s="2">
        <v>50</v>
      </c>
      <c r="C30" s="2">
        <v>54</v>
      </c>
      <c r="D30" s="2">
        <v>50</v>
      </c>
      <c r="E30" s="2">
        <v>54</v>
      </c>
      <c r="F30" s="2">
        <v>51</v>
      </c>
      <c r="G30" s="2">
        <v>64</v>
      </c>
      <c r="H30" s="2">
        <v>68</v>
      </c>
      <c r="I30" s="2">
        <v>66</v>
      </c>
      <c r="J30" s="2">
        <v>68</v>
      </c>
      <c r="K30" s="2">
        <v>67</v>
      </c>
      <c r="L30" s="4">
        <v>71</v>
      </c>
      <c r="M30" s="2">
        <v>67</v>
      </c>
      <c r="N30" s="2">
        <v>65</v>
      </c>
      <c r="O30" s="2">
        <v>67</v>
      </c>
      <c r="P30" s="2">
        <v>68</v>
      </c>
      <c r="Q30" s="3">
        <v>69</v>
      </c>
      <c r="R30" s="2">
        <v>67</v>
      </c>
      <c r="S30" s="2">
        <v>67</v>
      </c>
      <c r="T30" s="2">
        <v>67</v>
      </c>
      <c r="U30" s="2">
        <v>67</v>
      </c>
      <c r="V30" s="3">
        <v>69</v>
      </c>
    </row>
    <row r="31" spans="1:22">
      <c r="A31" s="9" t="s">
        <v>52</v>
      </c>
      <c r="B31" s="2">
        <v>88.333333333333329</v>
      </c>
      <c r="C31" s="2">
        <v>89.444444444444443</v>
      </c>
      <c r="D31" s="2">
        <v>91.111111111111114</v>
      </c>
      <c r="E31" s="2">
        <v>90</v>
      </c>
      <c r="F31" s="2">
        <v>93.333333333333329</v>
      </c>
      <c r="G31" s="2">
        <v>96.111111111111114</v>
      </c>
      <c r="H31" s="2">
        <v>97.222222222222214</v>
      </c>
      <c r="I31" s="2">
        <v>95</v>
      </c>
      <c r="J31" s="2">
        <v>98.333333333333329</v>
      </c>
      <c r="K31" s="2">
        <v>95.555555555555557</v>
      </c>
      <c r="L31" s="4">
        <v>99.444444444444443</v>
      </c>
      <c r="M31" s="2">
        <v>96.111111111111114</v>
      </c>
      <c r="N31" s="2">
        <v>96.111111111111114</v>
      </c>
      <c r="O31" s="2">
        <v>93.333333333333329</v>
      </c>
      <c r="P31" s="2">
        <v>93.888888888888886</v>
      </c>
      <c r="Q31" s="2">
        <v>80.555555555555557</v>
      </c>
      <c r="R31" s="2">
        <v>96.111111111111114</v>
      </c>
      <c r="S31" s="2">
        <v>88.888888888888886</v>
      </c>
      <c r="T31" s="3">
        <v>98.888888888888886</v>
      </c>
      <c r="U31" s="2">
        <v>92.222222222222229</v>
      </c>
      <c r="V31" s="3">
        <v>98.888888888888886</v>
      </c>
    </row>
    <row r="32" spans="1:22">
      <c r="A32" s="9" t="s">
        <v>16</v>
      </c>
      <c r="B32" s="2">
        <v>97.712978845054323</v>
      </c>
      <c r="C32" s="2">
        <v>98.227558604917093</v>
      </c>
      <c r="D32" s="2">
        <v>97.65580331618068</v>
      </c>
      <c r="E32" s="2">
        <v>97.85591766723843</v>
      </c>
      <c r="F32" s="2">
        <v>97.284162378502003</v>
      </c>
      <c r="G32" s="2">
        <v>92.481417953116065</v>
      </c>
      <c r="H32" s="2">
        <v>96.99828473413379</v>
      </c>
      <c r="I32" s="2">
        <v>46.941109205260148</v>
      </c>
      <c r="J32" s="2">
        <v>98.913664951400804</v>
      </c>
      <c r="K32" s="2">
        <v>98.513436249285306</v>
      </c>
      <c r="L32" s="2">
        <v>99.028016009148089</v>
      </c>
      <c r="M32" s="2">
        <v>98.59919954259577</v>
      </c>
      <c r="N32" s="2">
        <v>98.59919954259577</v>
      </c>
      <c r="O32" s="2">
        <v>98.542024013722127</v>
      </c>
      <c r="P32" s="2">
        <v>98.513436249285306</v>
      </c>
      <c r="Q32" s="2">
        <v>98.484848484848484</v>
      </c>
      <c r="R32" s="2">
        <v>98.513436249285306</v>
      </c>
      <c r="S32" s="2">
        <v>98.427672955974842</v>
      </c>
      <c r="T32" s="4">
        <v>99.342481417953124</v>
      </c>
      <c r="U32" s="2">
        <v>98.513436249285306</v>
      </c>
      <c r="V32" s="3">
        <v>99.256718124642646</v>
      </c>
    </row>
    <row r="33" spans="1:22">
      <c r="A33" s="9" t="s">
        <v>17</v>
      </c>
      <c r="B33" s="2">
        <v>15.120787354607815</v>
      </c>
      <c r="C33" s="2">
        <v>27.82582761705935</v>
      </c>
      <c r="D33" s="2">
        <v>33.015210259469129</v>
      </c>
      <c r="E33" s="3">
        <v>33.16433045034298</v>
      </c>
      <c r="F33" s="4">
        <v>33.641515061139273</v>
      </c>
      <c r="G33" s="2">
        <v>6.6507605129734566</v>
      </c>
      <c r="H33" s="2">
        <v>16.224276767074262</v>
      </c>
      <c r="I33" s="2">
        <v>5.4279749478079333</v>
      </c>
      <c r="J33" s="2">
        <v>14.524306591112438</v>
      </c>
      <c r="K33" s="2">
        <v>13.748881598568447</v>
      </c>
      <c r="L33" s="2">
        <v>4.9209662988368628</v>
      </c>
      <c r="M33" s="2">
        <v>15.508499850879808</v>
      </c>
      <c r="N33" s="2">
        <v>11.691022964509393</v>
      </c>
      <c r="O33" s="2">
        <v>14.315538323889054</v>
      </c>
      <c r="P33" s="2">
        <v>14.255890247539515</v>
      </c>
      <c r="Q33" s="2">
        <v>15.090963316433045</v>
      </c>
      <c r="R33" s="2">
        <v>13.122576796898301</v>
      </c>
      <c r="S33" s="2">
        <v>11.541902773635551</v>
      </c>
      <c r="T33" s="2">
        <v>33.074858335818668</v>
      </c>
      <c r="U33" s="2">
        <v>23.799582463465555</v>
      </c>
      <c r="V33" s="2">
        <v>30.331046823739932</v>
      </c>
    </row>
    <row r="34" spans="1:22">
      <c r="A34" s="9" t="s">
        <v>18</v>
      </c>
      <c r="B34" s="2">
        <v>80.26315789473685</v>
      </c>
      <c r="C34" s="2">
        <v>90.789473684210535</v>
      </c>
      <c r="D34" s="2">
        <v>90.131578947368425</v>
      </c>
      <c r="E34" s="2">
        <v>91.44736842105263</v>
      </c>
      <c r="F34" s="2">
        <v>90.131578947368425</v>
      </c>
      <c r="G34" s="2">
        <v>78.94736842105263</v>
      </c>
      <c r="H34" s="2">
        <v>81.578947368421055</v>
      </c>
      <c r="I34" s="2">
        <v>86.842105263157904</v>
      </c>
      <c r="J34" s="2">
        <v>89.473684210526315</v>
      </c>
      <c r="K34" s="2">
        <v>84.210526315789465</v>
      </c>
      <c r="L34" s="4">
        <v>94.078947368421055</v>
      </c>
      <c r="M34" s="2">
        <v>91.44736842105263</v>
      </c>
      <c r="N34" s="2">
        <v>84.868421052631575</v>
      </c>
      <c r="O34" s="2">
        <v>85.526315789473685</v>
      </c>
      <c r="P34" s="2">
        <v>87.5</v>
      </c>
      <c r="Q34" s="2">
        <v>85.526315789473685</v>
      </c>
      <c r="R34" s="2">
        <v>86.842105263157904</v>
      </c>
      <c r="S34" s="2">
        <v>81.578947368421055</v>
      </c>
      <c r="T34" s="2">
        <v>91.44736842105263</v>
      </c>
      <c r="U34" s="2">
        <v>90.789473684210535</v>
      </c>
      <c r="V34" s="3">
        <v>92.76315789473685</v>
      </c>
    </row>
    <row r="35" spans="1:22">
      <c r="A35" s="9" t="s">
        <v>19</v>
      </c>
      <c r="B35" s="2">
        <v>20</v>
      </c>
      <c r="C35" s="2">
        <v>46.666666666666664</v>
      </c>
      <c r="D35" s="2">
        <v>40</v>
      </c>
      <c r="E35" s="2">
        <v>40</v>
      </c>
      <c r="F35" s="2">
        <v>66.666666666666657</v>
      </c>
      <c r="G35" s="2">
        <v>53.333333333333336</v>
      </c>
      <c r="H35" s="2">
        <v>73.333333333333329</v>
      </c>
      <c r="I35" s="2">
        <v>66.666666666666657</v>
      </c>
      <c r="J35" s="2">
        <v>66.666666666666657</v>
      </c>
      <c r="K35" s="3">
        <v>80</v>
      </c>
      <c r="L35" s="2">
        <v>73.333333333333329</v>
      </c>
      <c r="M35" s="2">
        <v>73.333333333333329</v>
      </c>
      <c r="N35" s="2">
        <v>66.666666666666657</v>
      </c>
      <c r="O35" s="2">
        <v>66.666666666666657</v>
      </c>
      <c r="P35" s="3">
        <v>80</v>
      </c>
      <c r="Q35" s="4">
        <v>86.666666666666671</v>
      </c>
      <c r="R35" s="2">
        <v>73.333333333333329</v>
      </c>
      <c r="S35" s="2">
        <v>73.333333333333329</v>
      </c>
      <c r="T35" s="2">
        <v>60</v>
      </c>
      <c r="U35" s="2">
        <v>73.333333333333329</v>
      </c>
      <c r="V35" s="2">
        <v>73.333333333333329</v>
      </c>
    </row>
    <row r="36" spans="1:22">
      <c r="A36" s="10" t="s">
        <v>53</v>
      </c>
      <c r="B36" s="2">
        <f>AVERAGE(B6:B15)</f>
        <v>70.35446676397973</v>
      </c>
      <c r="C36" s="2">
        <f t="shared" ref="C36:V36" si="0">AVERAGE(C6:C15)</f>
        <v>74.368404841950934</v>
      </c>
      <c r="D36" s="2">
        <f t="shared" si="0"/>
        <v>78.155506431879772</v>
      </c>
      <c r="E36" s="3">
        <f t="shared" si="0"/>
        <v>78.34857827953644</v>
      </c>
      <c r="F36" s="2">
        <f t="shared" si="0"/>
        <v>77.599801668764002</v>
      </c>
      <c r="G36" s="2">
        <f t="shared" si="0"/>
        <v>70.998976440724988</v>
      </c>
      <c r="H36" s="2">
        <f t="shared" si="0"/>
        <v>72.759672049866111</v>
      </c>
      <c r="I36" s="2">
        <f t="shared" si="0"/>
        <v>69.577909959641815</v>
      </c>
      <c r="J36" s="2">
        <f t="shared" si="0"/>
        <v>75.168232523943757</v>
      </c>
      <c r="K36" s="2">
        <f t="shared" si="0"/>
        <v>73.429003098053187</v>
      </c>
      <c r="L36" s="2">
        <f t="shared" si="0"/>
        <v>77.442651833812363</v>
      </c>
      <c r="M36" s="2">
        <f t="shared" si="0"/>
        <v>74.94832816664109</v>
      </c>
      <c r="N36" s="2">
        <f t="shared" si="0"/>
        <v>71.544949205958517</v>
      </c>
      <c r="O36" s="2">
        <f t="shared" si="0"/>
        <v>74.267179959281179</v>
      </c>
      <c r="P36" s="2">
        <f t="shared" si="0"/>
        <v>75.315781107291002</v>
      </c>
      <c r="Q36" s="2">
        <f t="shared" si="0"/>
        <v>72.894579547666339</v>
      </c>
      <c r="R36" s="2">
        <f t="shared" si="0"/>
        <v>74.300689343778302</v>
      </c>
      <c r="S36" s="2">
        <f t="shared" si="0"/>
        <v>74.119963752592383</v>
      </c>
      <c r="T36" s="2">
        <f t="shared" si="0"/>
        <v>75.481716311047435</v>
      </c>
      <c r="U36" s="2">
        <f t="shared" si="0"/>
        <v>75.933375690075607</v>
      </c>
      <c r="V36" s="4">
        <f t="shared" si="0"/>
        <v>78.778660895649992</v>
      </c>
    </row>
    <row r="37" spans="1:22">
      <c r="A37" s="10" t="s">
        <v>54</v>
      </c>
      <c r="B37" s="2">
        <f>AVERAGE(B6:B35)</f>
        <v>68.019691068655888</v>
      </c>
      <c r="C37" s="2">
        <f t="shared" ref="C37:V37" si="1">AVERAGE(C6:C35)</f>
        <v>73.305689043226081</v>
      </c>
      <c r="D37" s="2">
        <f t="shared" si="1"/>
        <v>76.865881142203619</v>
      </c>
      <c r="E37" s="2">
        <f t="shared" si="1"/>
        <v>77.124035380642141</v>
      </c>
      <c r="F37" s="2">
        <f t="shared" si="1"/>
        <v>76.320337763441785</v>
      </c>
      <c r="G37" s="2">
        <f t="shared" si="1"/>
        <v>68.246933831184322</v>
      </c>
      <c r="H37" s="2">
        <f t="shared" si="1"/>
        <v>75.307906765970017</v>
      </c>
      <c r="I37" s="2">
        <f t="shared" si="1"/>
        <v>69.001332234525236</v>
      </c>
      <c r="J37" s="2">
        <f t="shared" si="1"/>
        <v>76.921251305903354</v>
      </c>
      <c r="K37" s="2">
        <f t="shared" si="1"/>
        <v>76.938256988340157</v>
      </c>
      <c r="L37" s="2">
        <f t="shared" si="1"/>
        <v>76.263284827203975</v>
      </c>
      <c r="M37" s="2">
        <f t="shared" si="1"/>
        <v>77.278970544169766</v>
      </c>
      <c r="N37" s="2">
        <f t="shared" si="1"/>
        <v>74.128311000314483</v>
      </c>
      <c r="O37" s="2">
        <f t="shared" si="1"/>
        <v>75.715536579810944</v>
      </c>
      <c r="P37" s="2">
        <f t="shared" si="1"/>
        <v>77.427344870706534</v>
      </c>
      <c r="Q37" s="2">
        <f t="shared" si="1"/>
        <v>74.729146393937583</v>
      </c>
      <c r="R37" s="2">
        <f t="shared" si="1"/>
        <v>76.064792007646602</v>
      </c>
      <c r="S37" s="2">
        <f t="shared" si="1"/>
        <v>74.797352581492476</v>
      </c>
      <c r="T37" s="29">
        <f t="shared" si="1"/>
        <v>77.699781609386719</v>
      </c>
      <c r="U37" s="3">
        <f t="shared" si="1"/>
        <v>78.404820230891602</v>
      </c>
      <c r="V37" s="4">
        <f t="shared" si="1"/>
        <v>79.802264961943052</v>
      </c>
    </row>
    <row r="38" spans="1:22">
      <c r="A38" s="10" t="s">
        <v>20</v>
      </c>
      <c r="B38" s="5">
        <f>AVERAGE(B50:B79)</f>
        <v>16.033333333333335</v>
      </c>
      <c r="C38" s="5">
        <f t="shared" ref="C38:V38" si="2">AVERAGE(C50:C79)</f>
        <v>11.2</v>
      </c>
      <c r="D38" s="5">
        <f t="shared" si="2"/>
        <v>8.9</v>
      </c>
      <c r="E38" s="5">
        <f t="shared" si="2"/>
        <v>8.8333333333333339</v>
      </c>
      <c r="F38" s="5">
        <f t="shared" si="2"/>
        <v>9.4</v>
      </c>
      <c r="G38" s="5">
        <f t="shared" si="2"/>
        <v>16.8</v>
      </c>
      <c r="H38" s="5">
        <f t="shared" si="2"/>
        <v>11.833333333333334</v>
      </c>
      <c r="I38" s="5">
        <f t="shared" si="2"/>
        <v>13.9</v>
      </c>
      <c r="J38" s="5">
        <f t="shared" si="2"/>
        <v>8.6666666666666661</v>
      </c>
      <c r="K38" s="5">
        <f t="shared" si="2"/>
        <v>9.1333333333333329</v>
      </c>
      <c r="L38" s="5">
        <f t="shared" si="2"/>
        <v>7.8</v>
      </c>
      <c r="M38" s="25">
        <f t="shared" si="2"/>
        <v>7.0333333333333332</v>
      </c>
      <c r="N38" s="5">
        <f t="shared" si="2"/>
        <v>12.333333333333334</v>
      </c>
      <c r="O38" s="5">
        <f t="shared" si="2"/>
        <v>10.633333333333333</v>
      </c>
      <c r="P38" s="5">
        <f t="shared" si="2"/>
        <v>8.5</v>
      </c>
      <c r="Q38" s="5">
        <f t="shared" si="2"/>
        <v>12.6</v>
      </c>
      <c r="R38" s="5">
        <f t="shared" si="2"/>
        <v>9.5</v>
      </c>
      <c r="S38" s="5">
        <f t="shared" si="2"/>
        <v>11.833333333333334</v>
      </c>
      <c r="T38" s="5">
        <f t="shared" si="2"/>
        <v>7.8666666666666663</v>
      </c>
      <c r="U38" s="5">
        <f t="shared" si="2"/>
        <v>7.1</v>
      </c>
      <c r="V38" s="6">
        <f t="shared" si="2"/>
        <v>5.3666666666666663</v>
      </c>
    </row>
    <row r="39" spans="1:22">
      <c r="A39" s="10" t="s">
        <v>61</v>
      </c>
      <c r="B39" s="7">
        <f>COUNTIF(B50:B79,"1")</f>
        <v>1</v>
      </c>
      <c r="C39" s="7">
        <f t="shared" ref="C39:V39" si="3">COUNTIF(C50:C79,"1")</f>
        <v>3</v>
      </c>
      <c r="D39" s="7">
        <f t="shared" si="3"/>
        <v>4</v>
      </c>
      <c r="E39" s="13">
        <f t="shared" si="3"/>
        <v>7</v>
      </c>
      <c r="F39" s="14">
        <f t="shared" si="3"/>
        <v>8</v>
      </c>
      <c r="G39" s="7">
        <f t="shared" si="3"/>
        <v>0</v>
      </c>
      <c r="H39" s="7">
        <f t="shared" si="3"/>
        <v>1</v>
      </c>
      <c r="I39" s="7">
        <f t="shared" si="3"/>
        <v>1</v>
      </c>
      <c r="J39" s="7">
        <f t="shared" si="3"/>
        <v>3</v>
      </c>
      <c r="K39" s="7">
        <f t="shared" si="3"/>
        <v>2</v>
      </c>
      <c r="L39" s="13">
        <f t="shared" si="3"/>
        <v>7</v>
      </c>
      <c r="M39" s="7">
        <f t="shared" si="3"/>
        <v>2</v>
      </c>
      <c r="N39" s="7">
        <f t="shared" si="3"/>
        <v>1</v>
      </c>
      <c r="O39" s="7">
        <f t="shared" si="3"/>
        <v>2</v>
      </c>
      <c r="P39" s="7">
        <f t="shared" si="3"/>
        <v>1</v>
      </c>
      <c r="Q39" s="7">
        <f t="shared" si="3"/>
        <v>2</v>
      </c>
      <c r="R39" s="7">
        <f t="shared" si="3"/>
        <v>1</v>
      </c>
      <c r="S39" s="7">
        <f t="shared" si="3"/>
        <v>0</v>
      </c>
      <c r="T39" s="13">
        <f t="shared" si="3"/>
        <v>7</v>
      </c>
      <c r="U39" s="7">
        <f t="shared" si="3"/>
        <v>5</v>
      </c>
      <c r="V39" s="7">
        <f t="shared" si="3"/>
        <v>5</v>
      </c>
    </row>
    <row r="40" spans="1:22">
      <c r="A40" s="10" t="s">
        <v>62</v>
      </c>
      <c r="B40" s="7">
        <f>COUNTIF(B50:B79,"&lt;=5")</f>
        <v>2</v>
      </c>
      <c r="C40" s="7">
        <f t="shared" ref="C40:V40" si="4">COUNTIF(C50:C79,"&lt;=5")</f>
        <v>10</v>
      </c>
      <c r="D40" s="7">
        <f t="shared" si="4"/>
        <v>13</v>
      </c>
      <c r="E40" s="7">
        <f t="shared" si="4"/>
        <v>13</v>
      </c>
      <c r="F40" s="7">
        <f t="shared" si="4"/>
        <v>12</v>
      </c>
      <c r="G40" s="7">
        <f t="shared" si="4"/>
        <v>0</v>
      </c>
      <c r="H40" s="7">
        <f t="shared" si="4"/>
        <v>6</v>
      </c>
      <c r="I40" s="7">
        <f t="shared" si="4"/>
        <v>3</v>
      </c>
      <c r="J40" s="7">
        <f t="shared" si="4"/>
        <v>9</v>
      </c>
      <c r="K40" s="7">
        <f t="shared" si="4"/>
        <v>8</v>
      </c>
      <c r="L40" s="13">
        <f t="shared" si="4"/>
        <v>16</v>
      </c>
      <c r="M40" s="7">
        <f t="shared" si="4"/>
        <v>12</v>
      </c>
      <c r="N40" s="7">
        <f t="shared" si="4"/>
        <v>6</v>
      </c>
      <c r="O40" s="7">
        <f t="shared" si="4"/>
        <v>2</v>
      </c>
      <c r="P40" s="7">
        <f t="shared" si="4"/>
        <v>12</v>
      </c>
      <c r="Q40" s="7">
        <f t="shared" si="4"/>
        <v>4</v>
      </c>
      <c r="R40" s="7">
        <f t="shared" si="4"/>
        <v>6</v>
      </c>
      <c r="S40" s="7">
        <f t="shared" si="4"/>
        <v>4</v>
      </c>
      <c r="T40" s="7">
        <f t="shared" si="4"/>
        <v>14</v>
      </c>
      <c r="U40" s="7">
        <f t="shared" si="4"/>
        <v>12</v>
      </c>
      <c r="V40" s="14">
        <f t="shared" si="4"/>
        <v>18</v>
      </c>
    </row>
    <row r="41" spans="1:22">
      <c r="A41" s="10" t="s">
        <v>63</v>
      </c>
      <c r="B41" s="7">
        <f t="shared" ref="B41:U41" si="5">COUNTIF(B50:B79,"&lt;=10")</f>
        <v>5</v>
      </c>
      <c r="C41" s="7">
        <f t="shared" si="5"/>
        <v>15</v>
      </c>
      <c r="D41" s="7">
        <f t="shared" si="5"/>
        <v>19</v>
      </c>
      <c r="E41" s="7">
        <f t="shared" si="5"/>
        <v>17</v>
      </c>
      <c r="F41" s="7">
        <f t="shared" si="5"/>
        <v>16</v>
      </c>
      <c r="G41" s="7">
        <f t="shared" si="5"/>
        <v>5</v>
      </c>
      <c r="H41" s="7">
        <f t="shared" si="5"/>
        <v>11</v>
      </c>
      <c r="I41" s="7">
        <f t="shared" si="5"/>
        <v>9</v>
      </c>
      <c r="J41" s="7">
        <f t="shared" si="5"/>
        <v>17</v>
      </c>
      <c r="K41" s="7">
        <f t="shared" si="5"/>
        <v>16</v>
      </c>
      <c r="L41" s="7">
        <f t="shared" si="5"/>
        <v>21</v>
      </c>
      <c r="M41" s="28">
        <f t="shared" si="5"/>
        <v>24</v>
      </c>
      <c r="N41" s="7">
        <f t="shared" si="5"/>
        <v>10</v>
      </c>
      <c r="O41" s="7">
        <f t="shared" si="5"/>
        <v>13</v>
      </c>
      <c r="P41" s="7">
        <f t="shared" si="5"/>
        <v>17</v>
      </c>
      <c r="Q41" s="7">
        <f t="shared" si="5"/>
        <v>8</v>
      </c>
      <c r="R41" s="7">
        <f t="shared" si="5"/>
        <v>18</v>
      </c>
      <c r="S41" s="7">
        <f t="shared" si="5"/>
        <v>10</v>
      </c>
      <c r="T41" s="7">
        <f t="shared" si="5"/>
        <v>20</v>
      </c>
      <c r="U41" s="13">
        <f t="shared" si="5"/>
        <v>25</v>
      </c>
      <c r="V41" s="14">
        <f>COUNTIF(V50:V79,"&lt;=10")</f>
        <v>27</v>
      </c>
    </row>
    <row r="42" spans="1:22">
      <c r="A42" s="10" t="s">
        <v>21</v>
      </c>
      <c r="B42" cm="1">
        <f t="array" ref="B42">SUM(--(B6:B35&lt;=$V6:$V35))</f>
        <v>29</v>
      </c>
      <c r="C42" cm="1">
        <f t="array" ref="C42">SUM(--(C6:C35&lt;=$V6:$V35))</f>
        <v>24</v>
      </c>
      <c r="D42" cm="1">
        <f t="array" ref="D42">SUM(--(D6:D35&lt;=$V6:$V35))</f>
        <v>20</v>
      </c>
      <c r="E42" cm="1">
        <f t="array" ref="E42">SUM(--(E6:E35&lt;=$V6:$V35))</f>
        <v>20</v>
      </c>
      <c r="F42" cm="1">
        <f t="array" ref="F42">SUM(--(F6:F35&lt;=$V6:$V35))</f>
        <v>21</v>
      </c>
      <c r="G42" cm="1">
        <f t="array" ref="G42">SUM(--(G6:G35&lt;=$V6:$V35))</f>
        <v>28</v>
      </c>
      <c r="H42" cm="1">
        <f t="array" ref="H42">SUM(--(H6:H35&lt;=$V6:$V35))</f>
        <v>25</v>
      </c>
      <c r="I42" cm="1">
        <f t="array" ref="I42">SUM(--(I6:I35&lt;=$V6:$V35))</f>
        <v>28</v>
      </c>
      <c r="J42" cm="1">
        <f t="array" ref="J42">SUM(--(J6:J35&lt;=$V6:$V35))</f>
        <v>24</v>
      </c>
      <c r="K42" cm="1">
        <f t="array" ref="K42">SUM(--(K6:K35&lt;=$V6:$V35))</f>
        <v>24</v>
      </c>
      <c r="L42" cm="1">
        <f t="array" ref="L42">SUM(--(L6:L35&lt;=$V6:$V35))</f>
        <v>18</v>
      </c>
      <c r="M42" cm="1">
        <f t="array" ref="M42">SUM(--(M6:M35&lt;=$V6:$V35))</f>
        <v>22</v>
      </c>
      <c r="N42" cm="1">
        <f t="array" ref="N42">SUM(--(N6:N35&lt;=$V6:$V35))</f>
        <v>23</v>
      </c>
      <c r="O42" cm="1">
        <f t="array" ref="O42">SUM(--(O6:O35&lt;=$V6:$V35))</f>
        <v>27</v>
      </c>
      <c r="P42" cm="1">
        <f t="array" ref="P42">SUM(--(P6:P35&lt;=$V6:$V35))</f>
        <v>21</v>
      </c>
      <c r="Q42" cm="1">
        <f t="array" ref="Q42">SUM(--(Q6:Q35&lt;=$V6:$V35))</f>
        <v>24</v>
      </c>
      <c r="R42" cm="1">
        <f t="array" ref="R42">SUM(--(R6:R35&lt;=$V6:$V35))</f>
        <v>26</v>
      </c>
      <c r="S42" cm="1">
        <f t="array" ref="S42">SUM(--(S6:S35&lt;=$V6:$V35))</f>
        <v>25</v>
      </c>
      <c r="T42" cm="1">
        <f t="array" ref="T42">SUM(--(T6:T35&lt;=$V6:$V35))</f>
        <v>20</v>
      </c>
      <c r="U42" cm="1">
        <f t="array" ref="U42">SUM(--(U6:U35&lt;=$V6:$V35))</f>
        <v>20</v>
      </c>
      <c r="V42" s="7"/>
    </row>
    <row r="43" spans="1:22">
      <c r="A43" s="10" t="s">
        <v>22</v>
      </c>
      <c r="B43" s="7" cm="1">
        <f t="array" ref="B43">SUM(--(B6:B35&gt;=$V6:$V35))</f>
        <v>2</v>
      </c>
      <c r="C43" s="7" cm="1">
        <f t="array" ref="C43">SUM(--(C6:C35&gt;=$V6:$V35))</f>
        <v>9</v>
      </c>
      <c r="D43" s="7" cm="1">
        <f t="array" ref="D43">SUM(--(D6:D35&gt;=$V6:$V35))</f>
        <v>14</v>
      </c>
      <c r="E43" s="7" cm="1">
        <f t="array" ref="E43">SUM(--(E6:E35&gt;=$V6:$V35))</f>
        <v>13</v>
      </c>
      <c r="F43" s="7" cm="1">
        <f t="array" ref="F43">SUM(--(F6:F35&gt;=$V6:$V35))</f>
        <v>11</v>
      </c>
      <c r="G43" s="7" cm="1">
        <f t="array" ref="G43">SUM(--(G6:G35&gt;=$V6:$V35))</f>
        <v>3</v>
      </c>
      <c r="H43" s="7" cm="1">
        <f t="array" ref="H43">SUM(--(H6:H35&gt;=$V6:$V35))</f>
        <v>7</v>
      </c>
      <c r="I43" s="7" cm="1">
        <f t="array" ref="I43">SUM(--(I6:I35&gt;=$V6:$V35))</f>
        <v>4</v>
      </c>
      <c r="J43" s="7" cm="1">
        <f t="array" ref="J43">SUM(--(J6:J35&gt;=$V6:$V35))</f>
        <v>8</v>
      </c>
      <c r="K43" s="7" cm="1">
        <f t="array" ref="K43">SUM(--(K6:K35&gt;=$V6:$V35))</f>
        <v>8</v>
      </c>
      <c r="L43" s="7" cm="1">
        <f t="array" ref="L43">SUM(--(L6:L35&gt;=$V6:$V35))</f>
        <v>15</v>
      </c>
      <c r="M43" s="7" cm="1">
        <f t="array" ref="M43">SUM(--(M6:M35&gt;=$V6:$V35))</f>
        <v>10</v>
      </c>
      <c r="N43" s="7" cm="1">
        <f t="array" ref="N43">SUM(--(N6:N35&gt;=$V6:$V35))</f>
        <v>7</v>
      </c>
      <c r="O43" s="7" cm="1">
        <f t="array" ref="O43">SUM(--(O6:O35&gt;=$V6:$V35))</f>
        <v>4</v>
      </c>
      <c r="P43" s="7" cm="1">
        <f t="array" ref="P43">SUM(--(P6:P35&gt;=$V6:$V35))</f>
        <v>10</v>
      </c>
      <c r="Q43" s="7" cm="1">
        <f t="array" ref="Q43">SUM(--(Q6:Q35&gt;=$V6:$V35))</f>
        <v>7</v>
      </c>
      <c r="R43" s="7" cm="1">
        <f t="array" ref="R43">SUM(--(R6:R35&gt;=$V6:$V35))</f>
        <v>7</v>
      </c>
      <c r="S43" s="7" cm="1">
        <f t="array" ref="S43">SUM(--(S6:S35&gt;=$V6:$V35))</f>
        <v>7</v>
      </c>
      <c r="T43" s="7" cm="1">
        <f t="array" ref="T43">SUM(--(T6:T35&gt;=$V6:$V35))</f>
        <v>14</v>
      </c>
      <c r="U43" s="7" cm="1">
        <f t="array" ref="U43">SUM(--(U6:U35&gt;=$V6:$V35))</f>
        <v>15</v>
      </c>
      <c r="V43" s="7"/>
    </row>
    <row r="44" spans="1:22">
      <c r="A44" t="s">
        <v>67</v>
      </c>
      <c r="B44" s="15">
        <v>3.6148028000000001E-6</v>
      </c>
      <c r="C44" s="15">
        <v>8.2399979840000004E-4</v>
      </c>
      <c r="D44" s="19">
        <v>5.6214029839700003E-2</v>
      </c>
      <c r="E44" s="15">
        <v>3.39326687995E-2</v>
      </c>
      <c r="F44" s="15">
        <v>1.5259624466699999E-2</v>
      </c>
      <c r="G44" s="15">
        <v>1.7574814999999999E-6</v>
      </c>
      <c r="H44" s="15">
        <v>1.029188644E-4</v>
      </c>
      <c r="I44" s="15">
        <v>4.9888494E-6</v>
      </c>
      <c r="J44" s="15">
        <v>4.1271717168000002E-3</v>
      </c>
      <c r="K44" s="15">
        <v>1.1389955577E-3</v>
      </c>
      <c r="L44" s="15">
        <v>3.97302551879E-2</v>
      </c>
      <c r="M44" s="15">
        <v>6.5308029432000004E-3</v>
      </c>
      <c r="N44" s="15">
        <v>8.4948726E-5</v>
      </c>
      <c r="O44" s="15">
        <v>1.0429514660000001E-4</v>
      </c>
      <c r="P44" s="15">
        <v>5.8827127747000003E-3</v>
      </c>
      <c r="Q44" s="15">
        <v>4.8768206830000001E-4</v>
      </c>
      <c r="R44" s="15">
        <v>1.884871277E-4</v>
      </c>
      <c r="S44" s="15">
        <v>1.750380135E-4</v>
      </c>
      <c r="T44" s="15">
        <v>3.2784897078099999E-2</v>
      </c>
      <c r="U44" s="15">
        <v>4.1326511634099998E-2</v>
      </c>
      <c r="V44" s="15">
        <v>1</v>
      </c>
    </row>
    <row r="50" spans="1:22">
      <c r="A50" s="9" t="str">
        <f>A6</f>
        <v>EC</v>
      </c>
      <c r="B50">
        <f>RANK(B6,$B6:$V6)</f>
        <v>12</v>
      </c>
      <c r="C50">
        <f t="shared" ref="C50:V50" si="6">RANK(C6,$B6:$V6)</f>
        <v>4</v>
      </c>
      <c r="D50">
        <f t="shared" si="6"/>
        <v>3</v>
      </c>
      <c r="E50">
        <f t="shared" si="6"/>
        <v>2</v>
      </c>
      <c r="F50">
        <f t="shared" si="6"/>
        <v>1</v>
      </c>
      <c r="G50">
        <f t="shared" si="6"/>
        <v>18</v>
      </c>
      <c r="H50">
        <f t="shared" si="6"/>
        <v>12</v>
      </c>
      <c r="I50">
        <f t="shared" si="6"/>
        <v>19</v>
      </c>
      <c r="J50">
        <f t="shared" si="6"/>
        <v>9</v>
      </c>
      <c r="K50">
        <f t="shared" si="6"/>
        <v>12</v>
      </c>
      <c r="L50">
        <f t="shared" si="6"/>
        <v>16</v>
      </c>
      <c r="M50">
        <f t="shared" si="6"/>
        <v>7</v>
      </c>
      <c r="N50">
        <f t="shared" si="6"/>
        <v>8</v>
      </c>
      <c r="O50">
        <f t="shared" si="6"/>
        <v>10</v>
      </c>
      <c r="P50">
        <f t="shared" si="6"/>
        <v>5</v>
      </c>
      <c r="Q50">
        <f t="shared" si="6"/>
        <v>11</v>
      </c>
      <c r="R50">
        <f t="shared" si="6"/>
        <v>12</v>
      </c>
      <c r="S50">
        <f t="shared" si="6"/>
        <v>16</v>
      </c>
      <c r="T50">
        <f t="shared" si="6"/>
        <v>21</v>
      </c>
      <c r="U50">
        <f t="shared" si="6"/>
        <v>19</v>
      </c>
      <c r="V50">
        <f t="shared" si="6"/>
        <v>6</v>
      </c>
    </row>
    <row r="51" spans="1:22">
      <c r="A51" s="9" t="str">
        <f t="shared" ref="A51:A84" si="7">A7</f>
        <v>FD</v>
      </c>
      <c r="B51">
        <f t="shared" ref="B51:V63" si="8">RANK(B7,$B7:$V7)</f>
        <v>21</v>
      </c>
      <c r="C51">
        <f t="shared" si="8"/>
        <v>17</v>
      </c>
      <c r="D51">
        <f t="shared" si="8"/>
        <v>18</v>
      </c>
      <c r="E51">
        <f t="shared" si="8"/>
        <v>20</v>
      </c>
      <c r="F51">
        <f t="shared" si="8"/>
        <v>19</v>
      </c>
      <c r="G51">
        <f t="shared" si="8"/>
        <v>6</v>
      </c>
      <c r="H51">
        <f t="shared" si="8"/>
        <v>10</v>
      </c>
      <c r="I51">
        <f t="shared" si="8"/>
        <v>9</v>
      </c>
      <c r="J51">
        <f t="shared" si="8"/>
        <v>2</v>
      </c>
      <c r="K51">
        <f t="shared" si="8"/>
        <v>14</v>
      </c>
      <c r="L51">
        <f t="shared" si="8"/>
        <v>15</v>
      </c>
      <c r="M51">
        <f t="shared" si="8"/>
        <v>4</v>
      </c>
      <c r="N51">
        <f t="shared" si="8"/>
        <v>3</v>
      </c>
      <c r="O51">
        <f t="shared" si="8"/>
        <v>12</v>
      </c>
      <c r="P51">
        <f t="shared" si="8"/>
        <v>5</v>
      </c>
      <c r="Q51">
        <f t="shared" si="8"/>
        <v>13</v>
      </c>
      <c r="R51">
        <f t="shared" si="8"/>
        <v>8</v>
      </c>
      <c r="S51">
        <f t="shared" si="8"/>
        <v>11</v>
      </c>
      <c r="T51">
        <f t="shared" si="8"/>
        <v>16</v>
      </c>
      <c r="U51">
        <f t="shared" si="8"/>
        <v>1</v>
      </c>
      <c r="V51">
        <f t="shared" si="8"/>
        <v>7</v>
      </c>
    </row>
    <row r="52" spans="1:22">
      <c r="A52" s="9" t="str">
        <f t="shared" si="7"/>
        <v>HW</v>
      </c>
      <c r="B52">
        <f t="shared" si="8"/>
        <v>3</v>
      </c>
      <c r="C52">
        <f t="shared" si="8"/>
        <v>4</v>
      </c>
      <c r="D52">
        <f t="shared" si="8"/>
        <v>7</v>
      </c>
      <c r="E52">
        <f t="shared" si="8"/>
        <v>6</v>
      </c>
      <c r="F52">
        <f t="shared" si="8"/>
        <v>8</v>
      </c>
      <c r="G52">
        <f t="shared" si="8"/>
        <v>20</v>
      </c>
      <c r="H52">
        <f t="shared" si="8"/>
        <v>19</v>
      </c>
      <c r="I52">
        <f t="shared" si="8"/>
        <v>21</v>
      </c>
      <c r="J52">
        <f t="shared" si="8"/>
        <v>10</v>
      </c>
      <c r="K52">
        <f t="shared" si="8"/>
        <v>17</v>
      </c>
      <c r="L52">
        <f t="shared" si="8"/>
        <v>1</v>
      </c>
      <c r="M52">
        <f t="shared" si="8"/>
        <v>13</v>
      </c>
      <c r="N52">
        <f t="shared" si="8"/>
        <v>14</v>
      </c>
      <c r="O52">
        <f t="shared" si="8"/>
        <v>11</v>
      </c>
      <c r="P52">
        <f t="shared" si="8"/>
        <v>16</v>
      </c>
      <c r="Q52">
        <f t="shared" si="8"/>
        <v>18</v>
      </c>
      <c r="R52">
        <f t="shared" si="8"/>
        <v>12</v>
      </c>
      <c r="S52">
        <f t="shared" si="8"/>
        <v>15</v>
      </c>
      <c r="T52">
        <f t="shared" si="8"/>
        <v>5</v>
      </c>
      <c r="U52">
        <f t="shared" si="8"/>
        <v>9</v>
      </c>
      <c r="V52">
        <f t="shared" si="8"/>
        <v>2</v>
      </c>
    </row>
    <row r="53" spans="1:22">
      <c r="A53" s="9" t="str">
        <f t="shared" si="7"/>
        <v>HB</v>
      </c>
      <c r="B53">
        <f t="shared" si="8"/>
        <v>21</v>
      </c>
      <c r="C53">
        <f t="shared" si="8"/>
        <v>19</v>
      </c>
      <c r="D53">
        <f t="shared" si="8"/>
        <v>9</v>
      </c>
      <c r="E53">
        <f t="shared" si="8"/>
        <v>17</v>
      </c>
      <c r="F53">
        <f t="shared" si="8"/>
        <v>16</v>
      </c>
      <c r="G53">
        <f t="shared" si="8"/>
        <v>17</v>
      </c>
      <c r="H53">
        <f t="shared" si="8"/>
        <v>15</v>
      </c>
      <c r="I53">
        <f t="shared" si="8"/>
        <v>6</v>
      </c>
      <c r="J53">
        <f t="shared" si="8"/>
        <v>1</v>
      </c>
      <c r="K53">
        <f t="shared" si="8"/>
        <v>12</v>
      </c>
      <c r="L53">
        <f t="shared" si="8"/>
        <v>5</v>
      </c>
      <c r="M53">
        <f t="shared" si="8"/>
        <v>2</v>
      </c>
      <c r="N53">
        <f t="shared" si="8"/>
        <v>12</v>
      </c>
      <c r="O53">
        <f t="shared" si="8"/>
        <v>9</v>
      </c>
      <c r="P53">
        <f t="shared" si="8"/>
        <v>6</v>
      </c>
      <c r="Q53">
        <f t="shared" si="8"/>
        <v>20</v>
      </c>
      <c r="R53">
        <f t="shared" si="8"/>
        <v>6</v>
      </c>
      <c r="S53">
        <f t="shared" si="8"/>
        <v>12</v>
      </c>
      <c r="T53">
        <f t="shared" si="8"/>
        <v>2</v>
      </c>
      <c r="U53">
        <f t="shared" si="8"/>
        <v>9</v>
      </c>
      <c r="V53">
        <f t="shared" si="8"/>
        <v>4</v>
      </c>
    </row>
    <row r="54" spans="1:22">
      <c r="A54" s="9" t="str">
        <f t="shared" si="7"/>
        <v>JV</v>
      </c>
      <c r="B54">
        <f t="shared" si="8"/>
        <v>19</v>
      </c>
      <c r="C54">
        <f t="shared" si="8"/>
        <v>21</v>
      </c>
      <c r="D54">
        <f t="shared" si="8"/>
        <v>7</v>
      </c>
      <c r="E54">
        <f t="shared" si="8"/>
        <v>14</v>
      </c>
      <c r="F54">
        <f t="shared" si="8"/>
        <v>7</v>
      </c>
      <c r="G54">
        <f t="shared" si="8"/>
        <v>18</v>
      </c>
      <c r="H54">
        <f t="shared" si="8"/>
        <v>17</v>
      </c>
      <c r="I54">
        <f t="shared" si="8"/>
        <v>19</v>
      </c>
      <c r="J54">
        <f t="shared" si="8"/>
        <v>4</v>
      </c>
      <c r="K54">
        <f t="shared" si="8"/>
        <v>4</v>
      </c>
      <c r="L54">
        <f t="shared" si="8"/>
        <v>3</v>
      </c>
      <c r="M54">
        <f t="shared" si="8"/>
        <v>2</v>
      </c>
      <c r="N54">
        <f t="shared" si="8"/>
        <v>15</v>
      </c>
      <c r="O54">
        <f t="shared" si="8"/>
        <v>7</v>
      </c>
      <c r="P54">
        <f t="shared" si="8"/>
        <v>7</v>
      </c>
      <c r="Q54">
        <f t="shared" si="8"/>
        <v>16</v>
      </c>
      <c r="R54">
        <f t="shared" si="8"/>
        <v>12</v>
      </c>
      <c r="S54">
        <f t="shared" si="8"/>
        <v>12</v>
      </c>
      <c r="T54">
        <f t="shared" si="8"/>
        <v>1</v>
      </c>
      <c r="U54">
        <f t="shared" si="8"/>
        <v>7</v>
      </c>
      <c r="V54">
        <f t="shared" si="8"/>
        <v>4</v>
      </c>
    </row>
    <row r="55" spans="1:22">
      <c r="A55" s="9" t="str">
        <f t="shared" si="7"/>
        <v>PEMS</v>
      </c>
      <c r="B55">
        <f t="shared" si="8"/>
        <v>21</v>
      </c>
      <c r="C55">
        <f t="shared" si="8"/>
        <v>17</v>
      </c>
      <c r="D55">
        <f t="shared" si="8"/>
        <v>2</v>
      </c>
      <c r="E55">
        <f t="shared" si="8"/>
        <v>1</v>
      </c>
      <c r="F55">
        <f t="shared" si="8"/>
        <v>18</v>
      </c>
      <c r="G55">
        <f t="shared" si="8"/>
        <v>18</v>
      </c>
      <c r="H55">
        <f t="shared" si="8"/>
        <v>11</v>
      </c>
      <c r="I55">
        <f t="shared" si="8"/>
        <v>20</v>
      </c>
      <c r="J55">
        <f t="shared" si="8"/>
        <v>11</v>
      </c>
      <c r="K55">
        <f t="shared" si="8"/>
        <v>14</v>
      </c>
      <c r="L55">
        <f t="shared" si="8"/>
        <v>6</v>
      </c>
      <c r="M55">
        <f t="shared" si="8"/>
        <v>6</v>
      </c>
      <c r="N55">
        <f t="shared" si="8"/>
        <v>6</v>
      </c>
      <c r="O55">
        <f t="shared" si="8"/>
        <v>11</v>
      </c>
      <c r="P55">
        <f t="shared" si="8"/>
        <v>5</v>
      </c>
      <c r="Q55">
        <f t="shared" si="8"/>
        <v>6</v>
      </c>
      <c r="R55">
        <f t="shared" si="8"/>
        <v>10</v>
      </c>
      <c r="S55">
        <f t="shared" si="8"/>
        <v>3</v>
      </c>
      <c r="T55">
        <f t="shared" si="8"/>
        <v>15</v>
      </c>
      <c r="U55">
        <f t="shared" si="8"/>
        <v>4</v>
      </c>
      <c r="V55">
        <f t="shared" si="8"/>
        <v>16</v>
      </c>
    </row>
    <row r="56" spans="1:22">
      <c r="A56" s="9" t="str">
        <f t="shared" si="7"/>
        <v>SRS1</v>
      </c>
      <c r="B56">
        <f t="shared" si="8"/>
        <v>20</v>
      </c>
      <c r="C56">
        <f t="shared" si="8"/>
        <v>18</v>
      </c>
      <c r="D56">
        <f t="shared" si="8"/>
        <v>15</v>
      </c>
      <c r="E56">
        <f t="shared" si="8"/>
        <v>17</v>
      </c>
      <c r="F56">
        <f t="shared" si="8"/>
        <v>1</v>
      </c>
      <c r="G56">
        <f t="shared" si="8"/>
        <v>6</v>
      </c>
      <c r="H56">
        <f t="shared" si="8"/>
        <v>6</v>
      </c>
      <c r="I56">
        <f t="shared" si="8"/>
        <v>19</v>
      </c>
      <c r="J56">
        <f t="shared" si="8"/>
        <v>10</v>
      </c>
      <c r="K56">
        <f t="shared" si="8"/>
        <v>4</v>
      </c>
      <c r="L56">
        <f t="shared" si="8"/>
        <v>14</v>
      </c>
      <c r="M56">
        <f t="shared" si="8"/>
        <v>10</v>
      </c>
      <c r="N56">
        <f t="shared" si="8"/>
        <v>21</v>
      </c>
      <c r="O56">
        <f t="shared" si="8"/>
        <v>10</v>
      </c>
      <c r="P56">
        <f t="shared" si="8"/>
        <v>2</v>
      </c>
      <c r="Q56">
        <f t="shared" si="8"/>
        <v>15</v>
      </c>
      <c r="R56">
        <f t="shared" si="8"/>
        <v>5</v>
      </c>
      <c r="S56">
        <f t="shared" si="8"/>
        <v>2</v>
      </c>
      <c r="T56">
        <f t="shared" si="8"/>
        <v>13</v>
      </c>
      <c r="U56">
        <f t="shared" si="8"/>
        <v>6</v>
      </c>
      <c r="V56">
        <f t="shared" si="8"/>
        <v>9</v>
      </c>
    </row>
    <row r="57" spans="1:22">
      <c r="A57" s="9" t="str">
        <f t="shared" si="7"/>
        <v>SRS2</v>
      </c>
      <c r="B57">
        <f t="shared" si="8"/>
        <v>21</v>
      </c>
      <c r="C57">
        <f t="shared" si="8"/>
        <v>18</v>
      </c>
      <c r="D57">
        <f t="shared" si="8"/>
        <v>20</v>
      </c>
      <c r="E57">
        <f t="shared" si="8"/>
        <v>13</v>
      </c>
      <c r="F57">
        <f t="shared" si="8"/>
        <v>19</v>
      </c>
      <c r="G57">
        <f t="shared" si="8"/>
        <v>17</v>
      </c>
      <c r="H57">
        <f t="shared" si="8"/>
        <v>11</v>
      </c>
      <c r="I57">
        <f t="shared" si="8"/>
        <v>15</v>
      </c>
      <c r="J57">
        <f t="shared" si="8"/>
        <v>8</v>
      </c>
      <c r="K57">
        <f t="shared" si="8"/>
        <v>8</v>
      </c>
      <c r="L57">
        <f t="shared" si="8"/>
        <v>2</v>
      </c>
      <c r="M57">
        <f t="shared" si="8"/>
        <v>6</v>
      </c>
      <c r="N57">
        <f t="shared" si="8"/>
        <v>11</v>
      </c>
      <c r="O57">
        <f t="shared" si="8"/>
        <v>8</v>
      </c>
      <c r="P57">
        <f t="shared" si="8"/>
        <v>4</v>
      </c>
      <c r="Q57">
        <f t="shared" si="8"/>
        <v>4</v>
      </c>
      <c r="R57">
        <f t="shared" si="8"/>
        <v>6</v>
      </c>
      <c r="S57">
        <f t="shared" si="8"/>
        <v>13</v>
      </c>
      <c r="T57">
        <f t="shared" si="8"/>
        <v>15</v>
      </c>
      <c r="U57">
        <f t="shared" si="8"/>
        <v>3</v>
      </c>
      <c r="V57">
        <f t="shared" si="8"/>
        <v>1</v>
      </c>
    </row>
    <row r="58" spans="1:22">
      <c r="A58" s="9" t="str">
        <f t="shared" si="7"/>
        <v>SAD</v>
      </c>
      <c r="B58">
        <f t="shared" si="8"/>
        <v>19</v>
      </c>
      <c r="C58">
        <f t="shared" si="8"/>
        <v>10</v>
      </c>
      <c r="D58">
        <f t="shared" si="8"/>
        <v>11</v>
      </c>
      <c r="E58">
        <f t="shared" si="8"/>
        <v>11</v>
      </c>
      <c r="F58">
        <f t="shared" si="8"/>
        <v>13</v>
      </c>
      <c r="G58">
        <f t="shared" si="8"/>
        <v>20</v>
      </c>
      <c r="H58">
        <f t="shared" si="8"/>
        <v>17</v>
      </c>
      <c r="I58">
        <f t="shared" si="8"/>
        <v>7</v>
      </c>
      <c r="J58">
        <f t="shared" si="8"/>
        <v>4</v>
      </c>
      <c r="K58">
        <f t="shared" si="8"/>
        <v>6</v>
      </c>
      <c r="L58">
        <f t="shared" si="8"/>
        <v>18</v>
      </c>
      <c r="M58">
        <f t="shared" si="8"/>
        <v>4</v>
      </c>
      <c r="N58">
        <f t="shared" si="8"/>
        <v>7</v>
      </c>
      <c r="O58">
        <f t="shared" si="8"/>
        <v>14</v>
      </c>
      <c r="P58">
        <f t="shared" si="8"/>
        <v>15</v>
      </c>
      <c r="Q58">
        <f t="shared" si="8"/>
        <v>16</v>
      </c>
      <c r="R58">
        <f t="shared" si="8"/>
        <v>3</v>
      </c>
      <c r="S58">
        <f t="shared" si="8"/>
        <v>9</v>
      </c>
      <c r="T58">
        <f t="shared" si="8"/>
        <v>2</v>
      </c>
      <c r="U58">
        <f t="shared" si="8"/>
        <v>21</v>
      </c>
      <c r="V58">
        <f t="shared" si="8"/>
        <v>1</v>
      </c>
    </row>
    <row r="59" spans="1:22">
      <c r="A59" s="9" t="str">
        <f t="shared" si="7"/>
        <v>UW</v>
      </c>
      <c r="B59">
        <f t="shared" si="8"/>
        <v>9</v>
      </c>
      <c r="C59">
        <f t="shared" si="8"/>
        <v>4</v>
      </c>
      <c r="D59">
        <f t="shared" si="8"/>
        <v>4</v>
      </c>
      <c r="E59">
        <f t="shared" si="8"/>
        <v>2</v>
      </c>
      <c r="F59">
        <f t="shared" si="8"/>
        <v>4</v>
      </c>
      <c r="G59">
        <f t="shared" si="8"/>
        <v>20</v>
      </c>
      <c r="H59">
        <f t="shared" si="8"/>
        <v>13</v>
      </c>
      <c r="I59">
        <f t="shared" si="8"/>
        <v>19</v>
      </c>
      <c r="J59">
        <f t="shared" si="8"/>
        <v>15</v>
      </c>
      <c r="K59">
        <f t="shared" si="8"/>
        <v>15</v>
      </c>
      <c r="L59">
        <f t="shared" si="8"/>
        <v>2</v>
      </c>
      <c r="M59">
        <f t="shared" si="8"/>
        <v>8</v>
      </c>
      <c r="N59">
        <f t="shared" si="8"/>
        <v>21</v>
      </c>
      <c r="O59">
        <f t="shared" si="8"/>
        <v>11</v>
      </c>
      <c r="P59">
        <f t="shared" si="8"/>
        <v>15</v>
      </c>
      <c r="Q59">
        <f t="shared" si="8"/>
        <v>12</v>
      </c>
      <c r="R59">
        <f t="shared" si="8"/>
        <v>13</v>
      </c>
      <c r="S59">
        <f t="shared" si="8"/>
        <v>10</v>
      </c>
      <c r="T59">
        <f t="shared" si="8"/>
        <v>15</v>
      </c>
      <c r="U59">
        <f t="shared" si="8"/>
        <v>1</v>
      </c>
      <c r="V59">
        <f t="shared" si="8"/>
        <v>7</v>
      </c>
    </row>
    <row r="60" spans="1:22">
      <c r="A60" s="9" t="str">
        <f t="shared" si="7"/>
        <v>AWR</v>
      </c>
      <c r="B60">
        <f t="shared" si="8"/>
        <v>12</v>
      </c>
      <c r="C60">
        <f t="shared" si="8"/>
        <v>1</v>
      </c>
      <c r="D60">
        <f t="shared" si="8"/>
        <v>1</v>
      </c>
      <c r="E60">
        <f t="shared" si="8"/>
        <v>1</v>
      </c>
      <c r="F60">
        <f t="shared" si="8"/>
        <v>1</v>
      </c>
      <c r="G60">
        <f t="shared" si="8"/>
        <v>20</v>
      </c>
      <c r="H60">
        <f t="shared" si="8"/>
        <v>19</v>
      </c>
      <c r="I60">
        <f t="shared" si="8"/>
        <v>8</v>
      </c>
      <c r="J60">
        <f t="shared" si="8"/>
        <v>12</v>
      </c>
      <c r="K60">
        <f t="shared" si="8"/>
        <v>12</v>
      </c>
      <c r="L60">
        <f t="shared" si="8"/>
        <v>1</v>
      </c>
      <c r="M60">
        <f t="shared" si="8"/>
        <v>8</v>
      </c>
      <c r="N60">
        <f t="shared" si="8"/>
        <v>21</v>
      </c>
      <c r="O60">
        <f t="shared" si="8"/>
        <v>12</v>
      </c>
      <c r="P60">
        <f t="shared" si="8"/>
        <v>12</v>
      </c>
      <c r="Q60">
        <f t="shared" si="8"/>
        <v>12</v>
      </c>
      <c r="R60">
        <f t="shared" si="8"/>
        <v>12</v>
      </c>
      <c r="S60">
        <f t="shared" si="8"/>
        <v>8</v>
      </c>
      <c r="T60">
        <f t="shared" si="8"/>
        <v>8</v>
      </c>
      <c r="U60">
        <f t="shared" si="8"/>
        <v>1</v>
      </c>
      <c r="V60">
        <f t="shared" si="8"/>
        <v>1</v>
      </c>
    </row>
    <row r="61" spans="1:22">
      <c r="A61" s="9" t="str">
        <f t="shared" si="7"/>
        <v>AF</v>
      </c>
      <c r="B61">
        <f t="shared" si="8"/>
        <v>18</v>
      </c>
      <c r="C61">
        <f t="shared" si="8"/>
        <v>20</v>
      </c>
      <c r="D61">
        <f t="shared" si="8"/>
        <v>18</v>
      </c>
      <c r="E61">
        <f t="shared" si="8"/>
        <v>17</v>
      </c>
      <c r="F61">
        <f t="shared" si="8"/>
        <v>20</v>
      </c>
      <c r="G61">
        <f t="shared" si="8"/>
        <v>14</v>
      </c>
      <c r="H61">
        <f t="shared" si="8"/>
        <v>3</v>
      </c>
      <c r="I61">
        <f t="shared" si="8"/>
        <v>13</v>
      </c>
      <c r="J61">
        <f t="shared" si="8"/>
        <v>7</v>
      </c>
      <c r="K61">
        <f t="shared" si="8"/>
        <v>3</v>
      </c>
      <c r="L61">
        <f t="shared" si="8"/>
        <v>7</v>
      </c>
      <c r="M61">
        <f t="shared" si="8"/>
        <v>7</v>
      </c>
      <c r="N61">
        <f t="shared" si="8"/>
        <v>3</v>
      </c>
      <c r="O61">
        <f t="shared" si="8"/>
        <v>1</v>
      </c>
      <c r="P61">
        <f t="shared" si="8"/>
        <v>3</v>
      </c>
      <c r="Q61">
        <f t="shared" si="8"/>
        <v>1</v>
      </c>
      <c r="R61">
        <f t="shared" si="8"/>
        <v>7</v>
      </c>
      <c r="S61">
        <f t="shared" si="8"/>
        <v>7</v>
      </c>
      <c r="T61">
        <f t="shared" si="8"/>
        <v>16</v>
      </c>
      <c r="U61">
        <f t="shared" si="8"/>
        <v>7</v>
      </c>
      <c r="V61">
        <f t="shared" si="8"/>
        <v>14</v>
      </c>
    </row>
    <row r="62" spans="1:22">
      <c r="A62" s="9" t="str">
        <f t="shared" si="7"/>
        <v>BM</v>
      </c>
      <c r="B62">
        <f t="shared" si="8"/>
        <v>17</v>
      </c>
      <c r="C62">
        <f t="shared" si="8"/>
        <v>1</v>
      </c>
      <c r="D62">
        <f t="shared" si="8"/>
        <v>1</v>
      </c>
      <c r="E62">
        <f t="shared" si="8"/>
        <v>1</v>
      </c>
      <c r="F62">
        <f t="shared" si="8"/>
        <v>1</v>
      </c>
      <c r="G62">
        <f t="shared" si="8"/>
        <v>20</v>
      </c>
      <c r="H62">
        <f t="shared" si="8"/>
        <v>1</v>
      </c>
      <c r="I62">
        <f t="shared" si="8"/>
        <v>1</v>
      </c>
      <c r="J62">
        <f t="shared" si="8"/>
        <v>1</v>
      </c>
      <c r="K62">
        <f t="shared" si="8"/>
        <v>1</v>
      </c>
      <c r="L62">
        <f t="shared" si="8"/>
        <v>1</v>
      </c>
      <c r="M62">
        <f t="shared" si="8"/>
        <v>1</v>
      </c>
      <c r="N62">
        <f t="shared" si="8"/>
        <v>19</v>
      </c>
      <c r="O62">
        <f t="shared" si="8"/>
        <v>1</v>
      </c>
      <c r="P62">
        <f t="shared" si="8"/>
        <v>1</v>
      </c>
      <c r="Q62">
        <f t="shared" si="8"/>
        <v>21</v>
      </c>
      <c r="R62">
        <f t="shared" si="8"/>
        <v>1</v>
      </c>
      <c r="S62">
        <f t="shared" si="8"/>
        <v>17</v>
      </c>
      <c r="T62">
        <f t="shared" si="8"/>
        <v>1</v>
      </c>
      <c r="U62">
        <f t="shared" si="8"/>
        <v>1</v>
      </c>
      <c r="V62">
        <f t="shared" si="8"/>
        <v>1</v>
      </c>
    </row>
    <row r="63" spans="1:22">
      <c r="A63" s="9" t="str">
        <f t="shared" si="7"/>
        <v>CT</v>
      </c>
      <c r="B63">
        <f t="shared" si="8"/>
        <v>15</v>
      </c>
      <c r="C63">
        <f t="shared" si="8"/>
        <v>7</v>
      </c>
      <c r="D63">
        <f t="shared" si="8"/>
        <v>7</v>
      </c>
      <c r="E63">
        <f t="shared" ref="E63:V63" si="9">RANK(E19,$B19:$V19)</f>
        <v>10</v>
      </c>
      <c r="F63">
        <f t="shared" si="9"/>
        <v>4</v>
      </c>
      <c r="G63">
        <f t="shared" si="9"/>
        <v>19</v>
      </c>
      <c r="H63">
        <f t="shared" si="9"/>
        <v>12</v>
      </c>
      <c r="I63">
        <f t="shared" si="9"/>
        <v>20</v>
      </c>
      <c r="J63">
        <f t="shared" si="9"/>
        <v>16</v>
      </c>
      <c r="K63">
        <f t="shared" si="9"/>
        <v>7</v>
      </c>
      <c r="L63">
        <f t="shared" si="9"/>
        <v>10</v>
      </c>
      <c r="M63">
        <f t="shared" si="9"/>
        <v>4</v>
      </c>
      <c r="N63">
        <f t="shared" si="9"/>
        <v>21</v>
      </c>
      <c r="O63">
        <f t="shared" si="9"/>
        <v>17</v>
      </c>
      <c r="P63">
        <f t="shared" si="9"/>
        <v>12</v>
      </c>
      <c r="Q63">
        <f t="shared" si="9"/>
        <v>18</v>
      </c>
      <c r="R63">
        <f t="shared" si="9"/>
        <v>4</v>
      </c>
      <c r="S63">
        <f t="shared" si="9"/>
        <v>14</v>
      </c>
      <c r="T63">
        <f t="shared" si="9"/>
        <v>1</v>
      </c>
      <c r="U63">
        <f t="shared" si="9"/>
        <v>3</v>
      </c>
      <c r="V63">
        <f t="shared" si="9"/>
        <v>2</v>
      </c>
    </row>
    <row r="64" spans="1:22">
      <c r="A64" s="9" t="str">
        <f t="shared" si="7"/>
        <v>CR</v>
      </c>
      <c r="B64">
        <f t="shared" ref="B64:V76" si="10">RANK(B20,$B20:$V20)</f>
        <v>1</v>
      </c>
      <c r="C64">
        <f t="shared" si="10"/>
        <v>1</v>
      </c>
      <c r="D64">
        <f t="shared" si="10"/>
        <v>1</v>
      </c>
      <c r="E64">
        <f t="shared" si="10"/>
        <v>1</v>
      </c>
      <c r="F64">
        <f t="shared" si="10"/>
        <v>8</v>
      </c>
      <c r="G64">
        <f t="shared" si="10"/>
        <v>19</v>
      </c>
      <c r="H64">
        <f t="shared" si="10"/>
        <v>18</v>
      </c>
      <c r="I64">
        <f t="shared" si="10"/>
        <v>11</v>
      </c>
      <c r="J64">
        <f t="shared" si="10"/>
        <v>11</v>
      </c>
      <c r="K64">
        <f t="shared" si="10"/>
        <v>11</v>
      </c>
      <c r="L64">
        <f t="shared" si="10"/>
        <v>19</v>
      </c>
      <c r="M64">
        <f t="shared" si="10"/>
        <v>8</v>
      </c>
      <c r="N64">
        <f t="shared" si="10"/>
        <v>21</v>
      </c>
      <c r="O64">
        <f t="shared" si="10"/>
        <v>8</v>
      </c>
      <c r="P64">
        <f t="shared" si="10"/>
        <v>11</v>
      </c>
      <c r="Q64">
        <f t="shared" si="10"/>
        <v>11</v>
      </c>
      <c r="R64">
        <f t="shared" si="10"/>
        <v>11</v>
      </c>
      <c r="S64">
        <f t="shared" si="10"/>
        <v>11</v>
      </c>
      <c r="T64">
        <f t="shared" si="10"/>
        <v>1</v>
      </c>
      <c r="U64">
        <f t="shared" si="10"/>
        <v>1</v>
      </c>
      <c r="V64">
        <f t="shared" si="10"/>
        <v>1</v>
      </c>
    </row>
    <row r="65" spans="1:22">
      <c r="A65" s="9" t="str">
        <f t="shared" si="7"/>
        <v>DDG</v>
      </c>
      <c r="B65">
        <f t="shared" si="10"/>
        <v>15</v>
      </c>
      <c r="C65">
        <f t="shared" si="10"/>
        <v>17</v>
      </c>
      <c r="D65">
        <f t="shared" si="10"/>
        <v>5</v>
      </c>
      <c r="E65">
        <f t="shared" si="10"/>
        <v>7</v>
      </c>
      <c r="F65">
        <f t="shared" si="10"/>
        <v>13</v>
      </c>
      <c r="G65">
        <f t="shared" si="10"/>
        <v>10</v>
      </c>
      <c r="H65">
        <f t="shared" si="10"/>
        <v>16</v>
      </c>
      <c r="I65">
        <f t="shared" si="10"/>
        <v>7</v>
      </c>
      <c r="J65">
        <f t="shared" si="10"/>
        <v>7</v>
      </c>
      <c r="K65">
        <f t="shared" si="10"/>
        <v>10</v>
      </c>
      <c r="L65">
        <f t="shared" si="10"/>
        <v>2</v>
      </c>
      <c r="M65">
        <f t="shared" si="10"/>
        <v>2</v>
      </c>
      <c r="N65">
        <f t="shared" si="10"/>
        <v>19</v>
      </c>
      <c r="O65">
        <f t="shared" si="10"/>
        <v>19</v>
      </c>
      <c r="P65">
        <f t="shared" si="10"/>
        <v>4</v>
      </c>
      <c r="Q65">
        <f t="shared" si="10"/>
        <v>21</v>
      </c>
      <c r="R65">
        <f t="shared" si="10"/>
        <v>10</v>
      </c>
      <c r="S65">
        <f t="shared" si="10"/>
        <v>13</v>
      </c>
      <c r="T65">
        <f t="shared" si="10"/>
        <v>1</v>
      </c>
      <c r="U65">
        <f t="shared" si="10"/>
        <v>18</v>
      </c>
      <c r="V65">
        <f t="shared" si="10"/>
        <v>5</v>
      </c>
    </row>
    <row r="66" spans="1:22">
      <c r="A66" s="9" t="str">
        <f t="shared" si="7"/>
        <v>EW</v>
      </c>
      <c r="B66">
        <f t="shared" si="10"/>
        <v>15</v>
      </c>
      <c r="C66">
        <f t="shared" si="10"/>
        <v>4</v>
      </c>
      <c r="D66">
        <f t="shared" si="10"/>
        <v>3</v>
      </c>
      <c r="E66">
        <f t="shared" si="10"/>
        <v>1</v>
      </c>
      <c r="F66">
        <f t="shared" si="10"/>
        <v>1</v>
      </c>
      <c r="G66">
        <f t="shared" si="10"/>
        <v>21</v>
      </c>
      <c r="H66">
        <f t="shared" si="10"/>
        <v>20</v>
      </c>
      <c r="I66">
        <f t="shared" si="10"/>
        <v>10</v>
      </c>
      <c r="J66">
        <f t="shared" si="10"/>
        <v>13</v>
      </c>
      <c r="K66">
        <f t="shared" si="10"/>
        <v>12</v>
      </c>
      <c r="L66">
        <f t="shared" si="10"/>
        <v>8</v>
      </c>
      <c r="M66">
        <f t="shared" si="10"/>
        <v>16</v>
      </c>
      <c r="N66">
        <f t="shared" si="10"/>
        <v>13</v>
      </c>
      <c r="O66">
        <f t="shared" si="10"/>
        <v>9</v>
      </c>
      <c r="P66">
        <f t="shared" si="10"/>
        <v>18</v>
      </c>
      <c r="Q66">
        <f t="shared" si="10"/>
        <v>19</v>
      </c>
      <c r="R66">
        <f t="shared" si="10"/>
        <v>10</v>
      </c>
      <c r="S66">
        <f t="shared" si="10"/>
        <v>17</v>
      </c>
      <c r="T66">
        <f t="shared" si="10"/>
        <v>7</v>
      </c>
      <c r="U66">
        <f t="shared" si="10"/>
        <v>5</v>
      </c>
      <c r="V66">
        <f t="shared" si="10"/>
        <v>6</v>
      </c>
    </row>
    <row r="67" spans="1:22">
      <c r="A67" s="9" t="str">
        <f t="shared" si="7"/>
        <v>EP</v>
      </c>
      <c r="B67">
        <f t="shared" si="10"/>
        <v>11</v>
      </c>
      <c r="C67">
        <f t="shared" si="10"/>
        <v>5</v>
      </c>
      <c r="D67">
        <f t="shared" si="10"/>
        <v>1</v>
      </c>
      <c r="E67">
        <f t="shared" si="10"/>
        <v>1</v>
      </c>
      <c r="F67">
        <f t="shared" si="10"/>
        <v>1</v>
      </c>
      <c r="G67">
        <f t="shared" si="10"/>
        <v>21</v>
      </c>
      <c r="H67">
        <f t="shared" si="10"/>
        <v>10</v>
      </c>
      <c r="I67">
        <f t="shared" si="10"/>
        <v>20</v>
      </c>
      <c r="J67">
        <f t="shared" si="10"/>
        <v>11</v>
      </c>
      <c r="K67">
        <f t="shared" si="10"/>
        <v>11</v>
      </c>
      <c r="L67">
        <f t="shared" si="10"/>
        <v>1</v>
      </c>
      <c r="M67">
        <f t="shared" si="10"/>
        <v>15</v>
      </c>
      <c r="N67">
        <f t="shared" si="10"/>
        <v>16</v>
      </c>
      <c r="O67">
        <f t="shared" si="10"/>
        <v>16</v>
      </c>
      <c r="P67">
        <f t="shared" si="10"/>
        <v>14</v>
      </c>
      <c r="Q67">
        <f t="shared" si="10"/>
        <v>7</v>
      </c>
      <c r="R67">
        <f t="shared" si="10"/>
        <v>18</v>
      </c>
      <c r="S67">
        <f t="shared" si="10"/>
        <v>19</v>
      </c>
      <c r="T67">
        <f t="shared" si="10"/>
        <v>8</v>
      </c>
      <c r="U67">
        <f t="shared" si="10"/>
        <v>5</v>
      </c>
      <c r="V67">
        <f t="shared" si="10"/>
        <v>8</v>
      </c>
    </row>
    <row r="68" spans="1:22">
      <c r="A68" s="9" t="str">
        <f t="shared" si="7"/>
        <v>ER</v>
      </c>
      <c r="B68">
        <f t="shared" si="10"/>
        <v>18</v>
      </c>
      <c r="C68">
        <f t="shared" si="10"/>
        <v>2</v>
      </c>
      <c r="D68">
        <f t="shared" si="10"/>
        <v>2</v>
      </c>
      <c r="E68">
        <f t="shared" si="10"/>
        <v>2</v>
      </c>
      <c r="F68">
        <f t="shared" si="10"/>
        <v>1</v>
      </c>
      <c r="G68">
        <f t="shared" si="10"/>
        <v>17</v>
      </c>
      <c r="H68">
        <f t="shared" si="10"/>
        <v>15</v>
      </c>
      <c r="I68">
        <f t="shared" si="10"/>
        <v>21</v>
      </c>
      <c r="J68">
        <f t="shared" si="10"/>
        <v>13</v>
      </c>
      <c r="K68">
        <f t="shared" si="10"/>
        <v>5</v>
      </c>
      <c r="L68">
        <f t="shared" si="10"/>
        <v>20</v>
      </c>
      <c r="M68">
        <f t="shared" si="10"/>
        <v>9</v>
      </c>
      <c r="N68">
        <f t="shared" si="10"/>
        <v>12</v>
      </c>
      <c r="O68">
        <f t="shared" si="10"/>
        <v>9</v>
      </c>
      <c r="P68">
        <f t="shared" si="10"/>
        <v>5</v>
      </c>
      <c r="Q68">
        <f t="shared" si="10"/>
        <v>8</v>
      </c>
      <c r="R68">
        <f t="shared" si="10"/>
        <v>9</v>
      </c>
      <c r="S68">
        <f t="shared" si="10"/>
        <v>14</v>
      </c>
      <c r="T68">
        <f t="shared" si="10"/>
        <v>19</v>
      </c>
      <c r="U68">
        <f t="shared" si="10"/>
        <v>7</v>
      </c>
      <c r="V68">
        <f t="shared" si="10"/>
        <v>16</v>
      </c>
    </row>
    <row r="69" spans="1:22">
      <c r="A69" s="9" t="str">
        <f t="shared" si="7"/>
        <v>FM</v>
      </c>
      <c r="B69">
        <f t="shared" si="10"/>
        <v>21</v>
      </c>
      <c r="C69">
        <f t="shared" si="10"/>
        <v>19</v>
      </c>
      <c r="D69">
        <f t="shared" si="10"/>
        <v>17</v>
      </c>
      <c r="E69">
        <f t="shared" si="10"/>
        <v>20</v>
      </c>
      <c r="F69">
        <f t="shared" si="10"/>
        <v>18</v>
      </c>
      <c r="G69">
        <f t="shared" si="10"/>
        <v>16</v>
      </c>
      <c r="H69">
        <f t="shared" si="10"/>
        <v>11</v>
      </c>
      <c r="I69">
        <f t="shared" si="10"/>
        <v>14</v>
      </c>
      <c r="J69">
        <f t="shared" si="10"/>
        <v>7</v>
      </c>
      <c r="K69">
        <f t="shared" si="10"/>
        <v>4</v>
      </c>
      <c r="L69">
        <f t="shared" si="10"/>
        <v>3</v>
      </c>
      <c r="M69">
        <f t="shared" si="10"/>
        <v>4</v>
      </c>
      <c r="N69">
        <f t="shared" si="10"/>
        <v>1</v>
      </c>
      <c r="O69">
        <f t="shared" si="10"/>
        <v>7</v>
      </c>
      <c r="P69">
        <f t="shared" si="10"/>
        <v>11</v>
      </c>
      <c r="Q69">
        <f t="shared" si="10"/>
        <v>14</v>
      </c>
      <c r="R69">
        <f t="shared" si="10"/>
        <v>7</v>
      </c>
      <c r="S69">
        <f t="shared" si="10"/>
        <v>11</v>
      </c>
      <c r="T69">
        <f t="shared" si="10"/>
        <v>4</v>
      </c>
      <c r="U69">
        <f t="shared" si="10"/>
        <v>7</v>
      </c>
      <c r="V69">
        <f t="shared" si="10"/>
        <v>2</v>
      </c>
    </row>
    <row r="70" spans="1:22">
      <c r="A70" s="9" t="str">
        <f t="shared" si="7"/>
        <v>HMD</v>
      </c>
      <c r="B70">
        <f t="shared" si="10"/>
        <v>21</v>
      </c>
      <c r="C70">
        <f t="shared" si="10"/>
        <v>15</v>
      </c>
      <c r="D70">
        <f t="shared" si="10"/>
        <v>17</v>
      </c>
      <c r="E70">
        <f t="shared" si="10"/>
        <v>15</v>
      </c>
      <c r="F70">
        <f t="shared" si="10"/>
        <v>20</v>
      </c>
      <c r="G70">
        <f t="shared" si="10"/>
        <v>7</v>
      </c>
      <c r="H70">
        <f t="shared" si="10"/>
        <v>7</v>
      </c>
      <c r="I70">
        <f t="shared" si="10"/>
        <v>4</v>
      </c>
      <c r="J70">
        <f t="shared" si="10"/>
        <v>1</v>
      </c>
      <c r="K70">
        <f t="shared" si="10"/>
        <v>7</v>
      </c>
      <c r="L70">
        <f t="shared" si="10"/>
        <v>17</v>
      </c>
      <c r="M70">
        <f t="shared" si="10"/>
        <v>1</v>
      </c>
      <c r="N70">
        <f t="shared" si="10"/>
        <v>3</v>
      </c>
      <c r="O70">
        <f t="shared" si="10"/>
        <v>11</v>
      </c>
      <c r="P70">
        <f t="shared" si="10"/>
        <v>7</v>
      </c>
      <c r="Q70">
        <f t="shared" si="10"/>
        <v>11</v>
      </c>
      <c r="R70">
        <f t="shared" si="10"/>
        <v>4</v>
      </c>
      <c r="S70">
        <f t="shared" si="10"/>
        <v>14</v>
      </c>
      <c r="T70">
        <f t="shared" si="10"/>
        <v>19</v>
      </c>
      <c r="U70">
        <f t="shared" si="10"/>
        <v>13</v>
      </c>
      <c r="V70">
        <f t="shared" si="10"/>
        <v>4</v>
      </c>
    </row>
    <row r="71" spans="1:22">
      <c r="A71" s="9" t="str">
        <f t="shared" si="7"/>
        <v>IW</v>
      </c>
      <c r="B71">
        <f t="shared" si="10"/>
        <v>18</v>
      </c>
      <c r="C71">
        <f t="shared" si="10"/>
        <v>19</v>
      </c>
      <c r="D71">
        <f t="shared" si="10"/>
        <v>9</v>
      </c>
      <c r="E71">
        <f t="shared" si="10"/>
        <v>8</v>
      </c>
      <c r="F71">
        <f t="shared" si="10"/>
        <v>11</v>
      </c>
      <c r="G71">
        <f t="shared" si="10"/>
        <v>20</v>
      </c>
      <c r="H71">
        <f t="shared" si="10"/>
        <v>5</v>
      </c>
      <c r="I71">
        <f t="shared" si="10"/>
        <v>4</v>
      </c>
      <c r="J71">
        <f t="shared" si="10"/>
        <v>15</v>
      </c>
      <c r="K71">
        <f t="shared" si="10"/>
        <v>1</v>
      </c>
      <c r="L71">
        <f t="shared" si="10"/>
        <v>21</v>
      </c>
      <c r="M71">
        <f t="shared" si="10"/>
        <v>14</v>
      </c>
      <c r="N71">
        <f t="shared" si="10"/>
        <v>12</v>
      </c>
      <c r="O71">
        <f t="shared" si="10"/>
        <v>13</v>
      </c>
      <c r="P71">
        <f t="shared" si="10"/>
        <v>2</v>
      </c>
      <c r="Q71">
        <f t="shared" si="10"/>
        <v>17</v>
      </c>
      <c r="R71">
        <f t="shared" si="10"/>
        <v>16</v>
      </c>
      <c r="S71">
        <f t="shared" si="10"/>
        <v>3</v>
      </c>
      <c r="T71">
        <f t="shared" si="10"/>
        <v>7</v>
      </c>
      <c r="U71">
        <f t="shared" si="10"/>
        <v>6</v>
      </c>
      <c r="V71">
        <f t="shared" si="10"/>
        <v>10</v>
      </c>
    </row>
    <row r="72" spans="1:22">
      <c r="A72" s="9" t="str">
        <f t="shared" si="7"/>
        <v>LIB</v>
      </c>
      <c r="B72">
        <f t="shared" si="10"/>
        <v>18</v>
      </c>
      <c r="C72">
        <f t="shared" si="10"/>
        <v>10</v>
      </c>
      <c r="D72">
        <f t="shared" si="10"/>
        <v>3</v>
      </c>
      <c r="E72">
        <f t="shared" si="10"/>
        <v>4</v>
      </c>
      <c r="F72">
        <f t="shared" si="10"/>
        <v>4</v>
      </c>
      <c r="G72">
        <f t="shared" si="10"/>
        <v>20</v>
      </c>
      <c r="H72">
        <f t="shared" si="10"/>
        <v>14</v>
      </c>
      <c r="I72">
        <f t="shared" si="10"/>
        <v>21</v>
      </c>
      <c r="J72">
        <f t="shared" si="10"/>
        <v>15</v>
      </c>
      <c r="K72">
        <f t="shared" si="10"/>
        <v>12</v>
      </c>
      <c r="L72">
        <f t="shared" si="10"/>
        <v>2</v>
      </c>
      <c r="M72">
        <f t="shared" si="10"/>
        <v>15</v>
      </c>
      <c r="N72">
        <f t="shared" si="10"/>
        <v>4</v>
      </c>
      <c r="O72">
        <f t="shared" si="10"/>
        <v>12</v>
      </c>
      <c r="P72">
        <f t="shared" si="10"/>
        <v>10</v>
      </c>
      <c r="Q72">
        <f t="shared" si="10"/>
        <v>19</v>
      </c>
      <c r="R72">
        <f t="shared" si="10"/>
        <v>17</v>
      </c>
      <c r="S72">
        <f t="shared" si="10"/>
        <v>7</v>
      </c>
      <c r="T72">
        <f t="shared" si="10"/>
        <v>1</v>
      </c>
      <c r="U72">
        <f t="shared" si="10"/>
        <v>7</v>
      </c>
      <c r="V72">
        <f t="shared" si="10"/>
        <v>7</v>
      </c>
    </row>
    <row r="73" spans="1:22">
      <c r="A73" s="9" t="str">
        <f t="shared" si="7"/>
        <v>LSST</v>
      </c>
      <c r="B73">
        <f t="shared" si="10"/>
        <v>8</v>
      </c>
      <c r="C73">
        <f t="shared" si="10"/>
        <v>4</v>
      </c>
      <c r="D73">
        <f t="shared" si="10"/>
        <v>2</v>
      </c>
      <c r="E73">
        <f t="shared" si="10"/>
        <v>1</v>
      </c>
      <c r="F73">
        <f t="shared" si="10"/>
        <v>3</v>
      </c>
      <c r="G73">
        <f t="shared" si="10"/>
        <v>21</v>
      </c>
      <c r="H73">
        <f t="shared" si="10"/>
        <v>15</v>
      </c>
      <c r="I73">
        <f t="shared" si="10"/>
        <v>20</v>
      </c>
      <c r="J73">
        <f t="shared" si="10"/>
        <v>12</v>
      </c>
      <c r="K73">
        <f t="shared" si="10"/>
        <v>13</v>
      </c>
      <c r="L73">
        <f t="shared" si="10"/>
        <v>9</v>
      </c>
      <c r="M73">
        <f t="shared" si="10"/>
        <v>11</v>
      </c>
      <c r="N73">
        <f t="shared" si="10"/>
        <v>17</v>
      </c>
      <c r="O73">
        <f t="shared" si="10"/>
        <v>16</v>
      </c>
      <c r="P73">
        <f t="shared" si="10"/>
        <v>14</v>
      </c>
      <c r="Q73">
        <f t="shared" si="10"/>
        <v>7</v>
      </c>
      <c r="R73">
        <f t="shared" si="10"/>
        <v>19</v>
      </c>
      <c r="S73">
        <f t="shared" si="10"/>
        <v>18</v>
      </c>
      <c r="T73">
        <f t="shared" si="10"/>
        <v>6</v>
      </c>
      <c r="U73">
        <f t="shared" si="10"/>
        <v>5</v>
      </c>
      <c r="V73">
        <f t="shared" si="10"/>
        <v>10</v>
      </c>
    </row>
    <row r="74" spans="1:22">
      <c r="A74" s="9" t="str">
        <f t="shared" si="7"/>
        <v>MI</v>
      </c>
      <c r="B74">
        <f t="shared" si="10"/>
        <v>20</v>
      </c>
      <c r="C74">
        <f t="shared" si="10"/>
        <v>17</v>
      </c>
      <c r="D74">
        <f t="shared" si="10"/>
        <v>20</v>
      </c>
      <c r="E74">
        <f t="shared" si="10"/>
        <v>17</v>
      </c>
      <c r="F74">
        <f t="shared" si="10"/>
        <v>19</v>
      </c>
      <c r="G74">
        <f t="shared" si="10"/>
        <v>16</v>
      </c>
      <c r="H74">
        <f t="shared" si="10"/>
        <v>4</v>
      </c>
      <c r="I74">
        <f t="shared" si="10"/>
        <v>14</v>
      </c>
      <c r="J74">
        <f t="shared" si="10"/>
        <v>4</v>
      </c>
      <c r="K74">
        <f t="shared" si="10"/>
        <v>7</v>
      </c>
      <c r="L74">
        <f t="shared" si="10"/>
        <v>1</v>
      </c>
      <c r="M74">
        <f t="shared" si="10"/>
        <v>7</v>
      </c>
      <c r="N74">
        <f t="shared" si="10"/>
        <v>15</v>
      </c>
      <c r="O74">
        <f t="shared" si="10"/>
        <v>7</v>
      </c>
      <c r="P74">
        <f t="shared" si="10"/>
        <v>4</v>
      </c>
      <c r="Q74">
        <f t="shared" si="10"/>
        <v>2</v>
      </c>
      <c r="R74">
        <f t="shared" si="10"/>
        <v>7</v>
      </c>
      <c r="S74">
        <f t="shared" si="10"/>
        <v>7</v>
      </c>
      <c r="T74">
        <f t="shared" si="10"/>
        <v>7</v>
      </c>
      <c r="U74">
        <f t="shared" si="10"/>
        <v>7</v>
      </c>
      <c r="V74">
        <f t="shared" si="10"/>
        <v>2</v>
      </c>
    </row>
    <row r="75" spans="1:22">
      <c r="A75" s="9" t="str">
        <f t="shared" si="7"/>
        <v>NATO</v>
      </c>
      <c r="B75">
        <f t="shared" si="10"/>
        <v>20</v>
      </c>
      <c r="C75">
        <f t="shared" si="10"/>
        <v>18</v>
      </c>
      <c r="D75">
        <f t="shared" si="10"/>
        <v>16</v>
      </c>
      <c r="E75">
        <f t="shared" si="10"/>
        <v>17</v>
      </c>
      <c r="F75">
        <f t="shared" si="10"/>
        <v>13</v>
      </c>
      <c r="G75">
        <f t="shared" si="10"/>
        <v>6</v>
      </c>
      <c r="H75">
        <f t="shared" si="10"/>
        <v>5</v>
      </c>
      <c r="I75">
        <f t="shared" si="10"/>
        <v>11</v>
      </c>
      <c r="J75">
        <f t="shared" si="10"/>
        <v>4</v>
      </c>
      <c r="K75">
        <f t="shared" si="10"/>
        <v>10</v>
      </c>
      <c r="L75">
        <f t="shared" si="10"/>
        <v>1</v>
      </c>
      <c r="M75">
        <f t="shared" si="10"/>
        <v>6</v>
      </c>
      <c r="N75">
        <f t="shared" si="10"/>
        <v>6</v>
      </c>
      <c r="O75">
        <f t="shared" si="10"/>
        <v>13</v>
      </c>
      <c r="P75">
        <f t="shared" si="10"/>
        <v>12</v>
      </c>
      <c r="Q75">
        <f t="shared" si="10"/>
        <v>21</v>
      </c>
      <c r="R75">
        <f t="shared" si="10"/>
        <v>6</v>
      </c>
      <c r="S75">
        <f t="shared" si="10"/>
        <v>19</v>
      </c>
      <c r="T75">
        <f t="shared" si="10"/>
        <v>2</v>
      </c>
      <c r="U75">
        <f t="shared" si="10"/>
        <v>15</v>
      </c>
      <c r="V75">
        <f t="shared" si="10"/>
        <v>2</v>
      </c>
    </row>
    <row r="76" spans="1:22">
      <c r="A76" s="9" t="str">
        <f t="shared" si="7"/>
        <v>PD</v>
      </c>
      <c r="B76">
        <f t="shared" si="10"/>
        <v>16</v>
      </c>
      <c r="C76">
        <f t="shared" si="10"/>
        <v>14</v>
      </c>
      <c r="D76">
        <f t="shared" si="10"/>
        <v>17</v>
      </c>
      <c r="E76">
        <f t="shared" ref="E76:V76" si="11">RANK(E32,$B32:$V32)</f>
        <v>15</v>
      </c>
      <c r="F76">
        <f t="shared" si="11"/>
        <v>18</v>
      </c>
      <c r="G76">
        <f t="shared" si="11"/>
        <v>20</v>
      </c>
      <c r="H76">
        <f t="shared" si="11"/>
        <v>19</v>
      </c>
      <c r="I76">
        <f t="shared" si="11"/>
        <v>21</v>
      </c>
      <c r="J76">
        <f t="shared" si="11"/>
        <v>4</v>
      </c>
      <c r="K76">
        <f t="shared" si="11"/>
        <v>8</v>
      </c>
      <c r="L76">
        <f t="shared" si="11"/>
        <v>3</v>
      </c>
      <c r="M76">
        <f t="shared" si="11"/>
        <v>5</v>
      </c>
      <c r="N76">
        <f t="shared" si="11"/>
        <v>5</v>
      </c>
      <c r="O76">
        <f t="shared" si="11"/>
        <v>7</v>
      </c>
      <c r="P76">
        <f t="shared" si="11"/>
        <v>8</v>
      </c>
      <c r="Q76">
        <f t="shared" si="11"/>
        <v>12</v>
      </c>
      <c r="R76">
        <f t="shared" si="11"/>
        <v>8</v>
      </c>
      <c r="S76">
        <f t="shared" si="11"/>
        <v>13</v>
      </c>
      <c r="T76">
        <f t="shared" si="11"/>
        <v>1</v>
      </c>
      <c r="U76">
        <f t="shared" si="11"/>
        <v>8</v>
      </c>
      <c r="V76">
        <f t="shared" si="11"/>
        <v>2</v>
      </c>
    </row>
    <row r="77" spans="1:22">
      <c r="A77" s="9" t="str">
        <f t="shared" si="7"/>
        <v>PS</v>
      </c>
      <c r="B77">
        <f t="shared" ref="B77:V81" si="12">RANK(B33,$B33:$V33)</f>
        <v>10</v>
      </c>
      <c r="C77">
        <f t="shared" si="12"/>
        <v>6</v>
      </c>
      <c r="D77">
        <f t="shared" si="12"/>
        <v>4</v>
      </c>
      <c r="E77">
        <f t="shared" si="12"/>
        <v>2</v>
      </c>
      <c r="F77">
        <f t="shared" si="12"/>
        <v>1</v>
      </c>
      <c r="G77">
        <f t="shared" si="12"/>
        <v>19</v>
      </c>
      <c r="H77">
        <f t="shared" si="12"/>
        <v>8</v>
      </c>
      <c r="I77">
        <f t="shared" si="12"/>
        <v>20</v>
      </c>
      <c r="J77">
        <f t="shared" si="12"/>
        <v>12</v>
      </c>
      <c r="K77">
        <f t="shared" si="12"/>
        <v>15</v>
      </c>
      <c r="L77">
        <f t="shared" si="12"/>
        <v>21</v>
      </c>
      <c r="M77">
        <f t="shared" si="12"/>
        <v>9</v>
      </c>
      <c r="N77">
        <f t="shared" si="12"/>
        <v>17</v>
      </c>
      <c r="O77">
        <f t="shared" si="12"/>
        <v>13</v>
      </c>
      <c r="P77">
        <f t="shared" si="12"/>
        <v>14</v>
      </c>
      <c r="Q77">
        <f t="shared" si="12"/>
        <v>11</v>
      </c>
      <c r="R77">
        <f t="shared" si="12"/>
        <v>16</v>
      </c>
      <c r="S77">
        <f t="shared" si="12"/>
        <v>18</v>
      </c>
      <c r="T77">
        <f t="shared" si="12"/>
        <v>3</v>
      </c>
      <c r="U77">
        <f t="shared" si="12"/>
        <v>7</v>
      </c>
      <c r="V77">
        <f t="shared" si="12"/>
        <v>5</v>
      </c>
    </row>
    <row r="78" spans="1:22">
      <c r="A78" s="9" t="str">
        <f t="shared" si="7"/>
        <v>RS</v>
      </c>
      <c r="B78">
        <f t="shared" si="12"/>
        <v>20</v>
      </c>
      <c r="C78">
        <f t="shared" si="12"/>
        <v>6</v>
      </c>
      <c r="D78">
        <f t="shared" si="12"/>
        <v>8</v>
      </c>
      <c r="E78">
        <f t="shared" si="12"/>
        <v>3</v>
      </c>
      <c r="F78">
        <f t="shared" si="12"/>
        <v>8</v>
      </c>
      <c r="G78">
        <f t="shared" si="12"/>
        <v>21</v>
      </c>
      <c r="H78">
        <f t="shared" si="12"/>
        <v>18</v>
      </c>
      <c r="I78">
        <f t="shared" si="12"/>
        <v>12</v>
      </c>
      <c r="J78">
        <f t="shared" si="12"/>
        <v>10</v>
      </c>
      <c r="K78">
        <f t="shared" si="12"/>
        <v>17</v>
      </c>
      <c r="L78">
        <f t="shared" si="12"/>
        <v>1</v>
      </c>
      <c r="M78">
        <f t="shared" si="12"/>
        <v>3</v>
      </c>
      <c r="N78">
        <f t="shared" si="12"/>
        <v>16</v>
      </c>
      <c r="O78">
        <f t="shared" si="12"/>
        <v>14</v>
      </c>
      <c r="P78">
        <f t="shared" si="12"/>
        <v>11</v>
      </c>
      <c r="Q78">
        <f t="shared" si="12"/>
        <v>14</v>
      </c>
      <c r="R78">
        <f t="shared" si="12"/>
        <v>12</v>
      </c>
      <c r="S78">
        <f t="shared" si="12"/>
        <v>18</v>
      </c>
      <c r="T78">
        <f t="shared" si="12"/>
        <v>3</v>
      </c>
      <c r="U78">
        <f t="shared" si="12"/>
        <v>6</v>
      </c>
      <c r="V78">
        <f t="shared" si="12"/>
        <v>2</v>
      </c>
    </row>
    <row r="79" spans="1:22">
      <c r="A79" s="9" t="str">
        <f t="shared" si="7"/>
        <v>SWJ</v>
      </c>
      <c r="B79">
        <f t="shared" si="12"/>
        <v>21</v>
      </c>
      <c r="C79">
        <f t="shared" si="12"/>
        <v>18</v>
      </c>
      <c r="D79">
        <f t="shared" si="12"/>
        <v>19</v>
      </c>
      <c r="E79">
        <f t="shared" si="12"/>
        <v>19</v>
      </c>
      <c r="F79">
        <f t="shared" si="12"/>
        <v>11</v>
      </c>
      <c r="G79">
        <f t="shared" si="12"/>
        <v>17</v>
      </c>
      <c r="H79">
        <f t="shared" si="12"/>
        <v>4</v>
      </c>
      <c r="I79">
        <f t="shared" si="12"/>
        <v>11</v>
      </c>
      <c r="J79">
        <f t="shared" si="12"/>
        <v>11</v>
      </c>
      <c r="K79">
        <f t="shared" si="12"/>
        <v>2</v>
      </c>
      <c r="L79">
        <f t="shared" si="12"/>
        <v>4</v>
      </c>
      <c r="M79">
        <f t="shared" si="12"/>
        <v>4</v>
      </c>
      <c r="N79">
        <f t="shared" si="12"/>
        <v>11</v>
      </c>
      <c r="O79">
        <f t="shared" si="12"/>
        <v>11</v>
      </c>
      <c r="P79">
        <f t="shared" si="12"/>
        <v>2</v>
      </c>
      <c r="Q79">
        <f t="shared" si="12"/>
        <v>1</v>
      </c>
      <c r="R79">
        <f t="shared" si="12"/>
        <v>4</v>
      </c>
      <c r="S79">
        <f t="shared" si="12"/>
        <v>4</v>
      </c>
      <c r="T79">
        <f t="shared" si="12"/>
        <v>16</v>
      </c>
      <c r="U79">
        <f t="shared" si="12"/>
        <v>4</v>
      </c>
      <c r="V79">
        <f t="shared" si="12"/>
        <v>4</v>
      </c>
    </row>
    <row r="80" spans="1:22">
      <c r="A80" s="9" t="str">
        <f t="shared" si="7"/>
        <v>avg. acc (10)</v>
      </c>
      <c r="B80">
        <f t="shared" si="12"/>
        <v>20</v>
      </c>
      <c r="C80">
        <f t="shared" si="12"/>
        <v>11</v>
      </c>
      <c r="D80">
        <f t="shared" si="12"/>
        <v>3</v>
      </c>
      <c r="E80">
        <f t="shared" si="12"/>
        <v>2</v>
      </c>
      <c r="F80">
        <f t="shared" si="12"/>
        <v>4</v>
      </c>
      <c r="G80">
        <f t="shared" si="12"/>
        <v>19</v>
      </c>
      <c r="H80">
        <f t="shared" si="12"/>
        <v>17</v>
      </c>
      <c r="I80">
        <f t="shared" si="12"/>
        <v>21</v>
      </c>
      <c r="J80">
        <f t="shared" si="12"/>
        <v>9</v>
      </c>
      <c r="K80">
        <f t="shared" si="12"/>
        <v>15</v>
      </c>
      <c r="L80">
        <f t="shared" si="12"/>
        <v>5</v>
      </c>
      <c r="M80">
        <f t="shared" si="12"/>
        <v>10</v>
      </c>
      <c r="N80">
        <f t="shared" si="12"/>
        <v>18</v>
      </c>
      <c r="O80">
        <f t="shared" si="12"/>
        <v>13</v>
      </c>
      <c r="P80">
        <f t="shared" si="12"/>
        <v>8</v>
      </c>
      <c r="Q80">
        <f t="shared" si="12"/>
        <v>16</v>
      </c>
      <c r="R80">
        <f t="shared" si="12"/>
        <v>12</v>
      </c>
      <c r="S80">
        <f t="shared" si="12"/>
        <v>14</v>
      </c>
      <c r="T80">
        <f t="shared" si="12"/>
        <v>7</v>
      </c>
      <c r="U80">
        <f t="shared" si="12"/>
        <v>6</v>
      </c>
      <c r="V80">
        <f t="shared" si="12"/>
        <v>1</v>
      </c>
    </row>
    <row r="81" spans="1:22">
      <c r="A81" s="9" t="str">
        <f t="shared" si="7"/>
        <v>avg. acc</v>
      </c>
      <c r="B81">
        <f t="shared" si="12"/>
        <v>21</v>
      </c>
      <c r="C81">
        <f t="shared" si="12"/>
        <v>18</v>
      </c>
      <c r="D81">
        <f t="shared" si="12"/>
        <v>9</v>
      </c>
      <c r="E81">
        <f t="shared" si="12"/>
        <v>6</v>
      </c>
      <c r="F81">
        <f t="shared" si="12"/>
        <v>10</v>
      </c>
      <c r="G81">
        <f t="shared" si="12"/>
        <v>20</v>
      </c>
      <c r="H81">
        <f t="shared" si="12"/>
        <v>14</v>
      </c>
      <c r="I81">
        <f t="shared" si="12"/>
        <v>19</v>
      </c>
      <c r="J81">
        <f t="shared" si="12"/>
        <v>8</v>
      </c>
      <c r="K81">
        <f t="shared" si="12"/>
        <v>7</v>
      </c>
      <c r="L81">
        <f t="shared" si="12"/>
        <v>11</v>
      </c>
      <c r="M81">
        <f t="shared" si="12"/>
        <v>5</v>
      </c>
      <c r="N81">
        <f t="shared" si="12"/>
        <v>17</v>
      </c>
      <c r="O81">
        <f t="shared" si="12"/>
        <v>13</v>
      </c>
      <c r="P81">
        <f t="shared" si="12"/>
        <v>4</v>
      </c>
      <c r="Q81">
        <f t="shared" si="12"/>
        <v>16</v>
      </c>
      <c r="R81">
        <f t="shared" si="12"/>
        <v>12</v>
      </c>
      <c r="S81">
        <f t="shared" si="12"/>
        <v>15</v>
      </c>
      <c r="T81">
        <f t="shared" si="12"/>
        <v>3</v>
      </c>
      <c r="U81">
        <f t="shared" si="12"/>
        <v>2</v>
      </c>
      <c r="V81">
        <f t="shared" si="12"/>
        <v>1</v>
      </c>
    </row>
    <row r="82" spans="1:22">
      <c r="A82" s="9" t="str">
        <f t="shared" si="7"/>
        <v>avg. rank</v>
      </c>
      <c r="B82">
        <f t="shared" ref="B82:U82" si="13">RANK(B38,$B38:$V38,1)</f>
        <v>20</v>
      </c>
      <c r="C82">
        <f t="shared" si="13"/>
        <v>14</v>
      </c>
      <c r="D82">
        <f t="shared" si="13"/>
        <v>9</v>
      </c>
      <c r="E82">
        <f t="shared" si="13"/>
        <v>8</v>
      </c>
      <c r="F82">
        <f t="shared" si="13"/>
        <v>11</v>
      </c>
      <c r="G82">
        <f t="shared" si="13"/>
        <v>21</v>
      </c>
      <c r="H82">
        <f t="shared" si="13"/>
        <v>15</v>
      </c>
      <c r="I82">
        <f t="shared" si="13"/>
        <v>19</v>
      </c>
      <c r="J82">
        <f t="shared" si="13"/>
        <v>7</v>
      </c>
      <c r="K82">
        <f t="shared" si="13"/>
        <v>10</v>
      </c>
      <c r="L82">
        <f t="shared" si="13"/>
        <v>4</v>
      </c>
      <c r="M82">
        <f t="shared" si="13"/>
        <v>2</v>
      </c>
      <c r="N82">
        <f t="shared" si="13"/>
        <v>17</v>
      </c>
      <c r="O82">
        <f t="shared" si="13"/>
        <v>13</v>
      </c>
      <c r="P82">
        <f t="shared" si="13"/>
        <v>6</v>
      </c>
      <c r="Q82">
        <f t="shared" si="13"/>
        <v>18</v>
      </c>
      <c r="R82">
        <f t="shared" si="13"/>
        <v>12</v>
      </c>
      <c r="S82">
        <f t="shared" si="13"/>
        <v>15</v>
      </c>
      <c r="T82">
        <f t="shared" si="13"/>
        <v>5</v>
      </c>
      <c r="U82">
        <f t="shared" si="13"/>
        <v>3</v>
      </c>
      <c r="V82">
        <f>RANK(V38,$B38:$V38,1)</f>
        <v>1</v>
      </c>
    </row>
    <row r="83" spans="1:22">
      <c r="A83" s="9" t="str">
        <f t="shared" si="7"/>
        <v>\# of top-1</v>
      </c>
      <c r="B83">
        <f t="shared" ref="B83:V85" si="14">RANK(B39,$B39:$V39)</f>
        <v>14</v>
      </c>
      <c r="C83">
        <f t="shared" si="14"/>
        <v>8</v>
      </c>
      <c r="D83">
        <f t="shared" si="14"/>
        <v>7</v>
      </c>
      <c r="E83">
        <f t="shared" si="14"/>
        <v>2</v>
      </c>
      <c r="F83">
        <f t="shared" si="14"/>
        <v>1</v>
      </c>
      <c r="G83">
        <f t="shared" si="14"/>
        <v>20</v>
      </c>
      <c r="H83">
        <f t="shared" si="14"/>
        <v>14</v>
      </c>
      <c r="I83">
        <f t="shared" si="14"/>
        <v>14</v>
      </c>
      <c r="J83">
        <f t="shared" si="14"/>
        <v>8</v>
      </c>
      <c r="K83">
        <f t="shared" si="14"/>
        <v>10</v>
      </c>
      <c r="L83">
        <f t="shared" si="14"/>
        <v>2</v>
      </c>
      <c r="M83">
        <f t="shared" si="14"/>
        <v>10</v>
      </c>
      <c r="N83">
        <f t="shared" si="14"/>
        <v>14</v>
      </c>
      <c r="O83">
        <f t="shared" si="14"/>
        <v>10</v>
      </c>
      <c r="P83">
        <f t="shared" si="14"/>
        <v>14</v>
      </c>
      <c r="Q83">
        <f t="shared" si="14"/>
        <v>10</v>
      </c>
      <c r="R83">
        <f t="shared" si="14"/>
        <v>14</v>
      </c>
      <c r="S83">
        <f t="shared" si="14"/>
        <v>20</v>
      </c>
      <c r="T83">
        <f t="shared" si="14"/>
        <v>2</v>
      </c>
      <c r="U83">
        <f t="shared" si="14"/>
        <v>5</v>
      </c>
      <c r="V83">
        <f t="shared" si="14"/>
        <v>5</v>
      </c>
    </row>
    <row r="84" spans="1:22">
      <c r="A84" s="9" t="str">
        <f t="shared" si="7"/>
        <v>\# of top-5</v>
      </c>
      <c r="B84">
        <f t="shared" si="14"/>
        <v>19</v>
      </c>
      <c r="C84">
        <f t="shared" si="14"/>
        <v>10</v>
      </c>
      <c r="D84">
        <f t="shared" si="14"/>
        <v>4</v>
      </c>
      <c r="E84">
        <f t="shared" si="14"/>
        <v>4</v>
      </c>
      <c r="F84">
        <f t="shared" si="14"/>
        <v>6</v>
      </c>
      <c r="G84">
        <f t="shared" si="14"/>
        <v>21</v>
      </c>
      <c r="H84">
        <f t="shared" si="14"/>
        <v>13</v>
      </c>
      <c r="I84">
        <f t="shared" si="14"/>
        <v>18</v>
      </c>
      <c r="J84">
        <f t="shared" si="14"/>
        <v>11</v>
      </c>
      <c r="K84">
        <f t="shared" si="14"/>
        <v>12</v>
      </c>
      <c r="L84">
        <f t="shared" si="14"/>
        <v>2</v>
      </c>
      <c r="M84">
        <f t="shared" si="14"/>
        <v>6</v>
      </c>
      <c r="N84">
        <f t="shared" si="14"/>
        <v>13</v>
      </c>
      <c r="O84">
        <f t="shared" si="14"/>
        <v>19</v>
      </c>
      <c r="P84">
        <f t="shared" si="14"/>
        <v>6</v>
      </c>
      <c r="Q84">
        <f t="shared" si="14"/>
        <v>16</v>
      </c>
      <c r="R84">
        <f t="shared" si="14"/>
        <v>13</v>
      </c>
      <c r="S84">
        <f t="shared" si="14"/>
        <v>16</v>
      </c>
      <c r="T84">
        <f t="shared" si="14"/>
        <v>3</v>
      </c>
      <c r="U84">
        <f t="shared" si="14"/>
        <v>6</v>
      </c>
      <c r="V84">
        <f t="shared" si="14"/>
        <v>1</v>
      </c>
    </row>
    <row r="85" spans="1:22">
      <c r="A85" s="9" t="str">
        <f>A41</f>
        <v>\# of top-10</v>
      </c>
      <c r="B85">
        <f t="shared" si="14"/>
        <v>20</v>
      </c>
      <c r="C85">
        <f t="shared" si="14"/>
        <v>13</v>
      </c>
      <c r="D85">
        <f t="shared" si="14"/>
        <v>6</v>
      </c>
      <c r="E85">
        <f t="shared" si="14"/>
        <v>8</v>
      </c>
      <c r="F85">
        <f t="shared" si="14"/>
        <v>11</v>
      </c>
      <c r="G85">
        <f t="shared" si="14"/>
        <v>20</v>
      </c>
      <c r="H85">
        <f t="shared" si="14"/>
        <v>15</v>
      </c>
      <c r="I85">
        <f t="shared" si="14"/>
        <v>18</v>
      </c>
      <c r="J85">
        <f t="shared" si="14"/>
        <v>8</v>
      </c>
      <c r="K85">
        <f t="shared" si="14"/>
        <v>11</v>
      </c>
      <c r="L85">
        <f t="shared" si="14"/>
        <v>4</v>
      </c>
      <c r="M85">
        <f t="shared" si="14"/>
        <v>3</v>
      </c>
      <c r="N85">
        <f t="shared" si="14"/>
        <v>16</v>
      </c>
      <c r="O85">
        <f t="shared" si="14"/>
        <v>14</v>
      </c>
      <c r="P85">
        <f t="shared" si="14"/>
        <v>8</v>
      </c>
      <c r="Q85">
        <f t="shared" si="14"/>
        <v>19</v>
      </c>
      <c r="R85">
        <f t="shared" si="14"/>
        <v>7</v>
      </c>
      <c r="S85">
        <f t="shared" si="14"/>
        <v>16</v>
      </c>
      <c r="T85">
        <f t="shared" si="14"/>
        <v>5</v>
      </c>
      <c r="U85">
        <f t="shared" si="14"/>
        <v>2</v>
      </c>
      <c r="V85">
        <f t="shared" si="14"/>
        <v>1</v>
      </c>
    </row>
    <row r="86" spans="1:22">
      <c r="A86" s="9"/>
    </row>
    <row r="87" spans="1:22">
      <c r="A87" s="9"/>
    </row>
    <row r="88" spans="1:22">
      <c r="A88" s="9"/>
    </row>
    <row r="89" spans="1:22">
      <c r="A89" s="9"/>
    </row>
    <row r="90" spans="1:22">
      <c r="A90" s="9"/>
    </row>
    <row r="91" spans="1:22">
      <c r="A91" s="9"/>
    </row>
    <row r="92" spans="1:22">
      <c r="A92" s="9"/>
    </row>
    <row r="93" spans="1:22">
      <c r="A93" s="9"/>
    </row>
    <row r="94" spans="1:22">
      <c r="A94" s="9"/>
    </row>
    <row r="95" spans="1:22">
      <c r="A95" s="9"/>
    </row>
    <row r="96" spans="1:22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</sheetData>
  <mergeCells count="6">
    <mergeCell ref="U4:V4"/>
    <mergeCell ref="B4:F4"/>
    <mergeCell ref="G4:I4"/>
    <mergeCell ref="J4:K4"/>
    <mergeCell ref="L4:M4"/>
    <mergeCell ref="N4:S4"/>
  </mergeCells>
  <phoneticPr fontId="2" type="noConversion"/>
  <conditionalFormatting sqref="A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4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5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9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0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2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3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4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8">
    <cfRule type="colorScale" priority="66">
      <colorScale>
        <cfvo type="min"/>
        <cfvo type="max"/>
        <color theme="8"/>
        <color theme="0"/>
      </colorScale>
    </cfRule>
  </conditionalFormatting>
  <conditionalFormatting sqref="A39">
    <cfRule type="colorScale" priority="68">
      <colorScale>
        <cfvo type="min"/>
        <cfvo type="max"/>
        <color theme="0"/>
        <color theme="8"/>
      </colorScale>
    </cfRule>
  </conditionalFormatting>
  <conditionalFormatting sqref="A40">
    <cfRule type="colorScale" priority="65">
      <colorScale>
        <cfvo type="min"/>
        <cfvo type="max"/>
        <color theme="0"/>
        <color theme="8"/>
      </colorScale>
    </cfRule>
  </conditionalFormatting>
  <conditionalFormatting sqref="A41">
    <cfRule type="colorScale" priority="67">
      <colorScale>
        <cfvo type="min"/>
        <cfvo type="max"/>
        <color theme="0"/>
        <color theme="8"/>
      </colorScale>
    </cfRule>
  </conditionalFormatting>
  <conditionalFormatting sqref="B6:V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V7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V8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V9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:V1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V1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V1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V1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:V1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V1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V1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:V1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:V1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V19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V2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V2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:V2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:V2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:V2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:V2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:V2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V2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:V2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V2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V3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:V3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:V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3:V3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:V3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5:V3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6:V36">
    <cfRule type="colorScale" priority="3">
      <colorScale>
        <cfvo type="min"/>
        <cfvo type="max"/>
        <color rgb="FFFCFCFF"/>
        <color theme="4" tint="0.39997558519241921"/>
      </colorScale>
    </cfRule>
  </conditionalFormatting>
  <conditionalFormatting sqref="B37:V37">
    <cfRule type="colorScale" priority="2">
      <colorScale>
        <cfvo type="min"/>
        <cfvo type="max"/>
        <color rgb="FFFCFCFF"/>
        <color theme="4" tint="0.39997558519241921"/>
      </colorScale>
    </cfRule>
  </conditionalFormatting>
  <conditionalFormatting sqref="B38:V38">
    <cfRule type="colorScale" priority="1">
      <colorScale>
        <cfvo type="min"/>
        <cfvo type="max"/>
        <color rgb="FFF8696B"/>
        <color rgb="FFFCFCFF"/>
      </colorScale>
    </cfRule>
  </conditionalFormatting>
  <conditionalFormatting sqref="B50:V85">
    <cfRule type="cellIs" dxfId="5" priority="34" operator="equal">
      <formula>2</formula>
    </cfRule>
    <cfRule type="cellIs" dxfId="4" priority="35" operator="equal">
      <formula>1</formula>
    </cfRule>
  </conditionalFormatting>
  <pageMargins left="0.7" right="0.7" top="0.75" bottom="0.75" header="0.3" footer="0.3"/>
  <ignoredErrors>
    <ignoredError sqref="B36:V3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724B-015C-CC41-AC4B-21554AB366AD}">
  <dimension ref="A4:V143"/>
  <sheetViews>
    <sheetView topLeftCell="A5" zoomScale="91" zoomScaleNormal="91" workbookViewId="0">
      <pane xSplit="1" topLeftCell="O1" activePane="topRight" state="frozen"/>
      <selection activeCell="A3" sqref="A3"/>
      <selection pane="topRight" activeCell="M41" sqref="M41"/>
    </sheetView>
  </sheetViews>
  <sheetFormatPr baseColWidth="10" defaultRowHeight="18"/>
  <cols>
    <col min="1" max="1" width="13.85546875" bestFit="1" customWidth="1"/>
    <col min="2" max="21" width="8.5703125" customWidth="1"/>
    <col min="22" max="22" width="9.5703125" customWidth="1"/>
  </cols>
  <sheetData>
    <row r="4" spans="1:22" ht="43" customHeight="1">
      <c r="B4" s="26" t="s">
        <v>41</v>
      </c>
      <c r="C4" s="26"/>
      <c r="D4" s="26"/>
      <c r="E4" s="26"/>
      <c r="F4" s="26"/>
      <c r="G4" s="26" t="s">
        <v>55</v>
      </c>
      <c r="H4" s="26"/>
      <c r="I4" s="26"/>
      <c r="J4" s="26" t="s">
        <v>57</v>
      </c>
      <c r="K4" s="26"/>
      <c r="L4" s="27" t="s">
        <v>56</v>
      </c>
      <c r="M4" s="27"/>
      <c r="N4" s="26" t="s">
        <v>58</v>
      </c>
      <c r="O4" s="26"/>
      <c r="P4" s="26"/>
      <c r="Q4" s="26"/>
      <c r="R4" s="26"/>
      <c r="S4" s="26"/>
      <c r="T4" s="1" t="s">
        <v>65</v>
      </c>
      <c r="U4" s="26" t="s">
        <v>59</v>
      </c>
      <c r="V4" s="26"/>
    </row>
    <row r="5" spans="1:22" ht="45">
      <c r="A5" t="s">
        <v>66</v>
      </c>
      <c r="B5" s="16" t="s">
        <v>68</v>
      </c>
      <c r="C5" s="16" t="s">
        <v>69</v>
      </c>
      <c r="D5" s="16" t="s">
        <v>70</v>
      </c>
      <c r="E5" s="16" t="s">
        <v>71</v>
      </c>
      <c r="F5" s="16" t="s">
        <v>72</v>
      </c>
      <c r="G5" s="17" t="s">
        <v>73</v>
      </c>
      <c r="H5" s="16" t="s">
        <v>74</v>
      </c>
      <c r="I5" s="16" t="s">
        <v>75</v>
      </c>
      <c r="J5" s="16" t="s">
        <v>76</v>
      </c>
      <c r="K5" s="17" t="s">
        <v>77</v>
      </c>
      <c r="L5" s="16" t="s">
        <v>78</v>
      </c>
      <c r="M5" s="16" t="s">
        <v>79</v>
      </c>
      <c r="N5" s="16" t="s">
        <v>80</v>
      </c>
      <c r="O5" s="16" t="s">
        <v>81</v>
      </c>
      <c r="P5" s="16" t="s">
        <v>82</v>
      </c>
      <c r="Q5" s="17" t="s">
        <v>83</v>
      </c>
      <c r="R5" s="17" t="s">
        <v>84</v>
      </c>
      <c r="S5" s="17" t="s">
        <v>85</v>
      </c>
      <c r="T5" s="16" t="s">
        <v>86</v>
      </c>
      <c r="U5" s="16" t="s">
        <v>87</v>
      </c>
      <c r="V5" s="18" t="s">
        <v>88</v>
      </c>
    </row>
    <row r="6" spans="1:22">
      <c r="A6" s="9" t="s">
        <v>42</v>
      </c>
      <c r="B6" s="2">
        <f>'UEA30 (colored)'!B6</f>
        <v>32.319391634980988</v>
      </c>
      <c r="C6" s="2">
        <f>'UEA30 (colored)'!C6</f>
        <v>44.486692015209123</v>
      </c>
      <c r="D6" s="2">
        <f>'UEA30 (colored)'!D6</f>
        <v>52.851711026615966</v>
      </c>
      <c r="E6" s="3">
        <f>'UEA30 (colored)'!E6</f>
        <v>54.372623574144484</v>
      </c>
      <c r="F6" s="4">
        <f>'UEA30 (colored)'!F6</f>
        <v>60.076045627376431</v>
      </c>
      <c r="G6" s="2">
        <f>'UEA30 (colored)'!G6</f>
        <v>31.178707224334602</v>
      </c>
      <c r="H6" s="2">
        <f>'UEA30 (colored)'!H6</f>
        <v>32.319391634980988</v>
      </c>
      <c r="I6" s="2">
        <f>'UEA30 (colored)'!I6</f>
        <v>30.798479087452474</v>
      </c>
      <c r="J6" s="2">
        <f>'UEA30 (colored)'!J6</f>
        <v>33.460076045627375</v>
      </c>
      <c r="K6" s="2">
        <f>'UEA30 (colored)'!K6</f>
        <v>32.319391634980988</v>
      </c>
      <c r="L6" s="2">
        <f>'UEA30 (colored)'!L6</f>
        <v>31.939163498098861</v>
      </c>
      <c r="M6" s="2">
        <f>'UEA30 (colored)'!M6</f>
        <v>34.600760456273768</v>
      </c>
      <c r="N6" s="2">
        <f>'UEA30 (colored)'!N6</f>
        <v>33.840304182509506</v>
      </c>
      <c r="O6" s="2">
        <f>'UEA30 (colored)'!O6</f>
        <v>33.079847908745244</v>
      </c>
      <c r="P6" s="2">
        <f>'UEA30 (colored)'!P6</f>
        <v>43.346007604562736</v>
      </c>
      <c r="Q6" s="2">
        <f>'UEA30 (colored)'!Q6</f>
        <v>32.699619771863119</v>
      </c>
      <c r="R6" s="2">
        <f>'UEA30 (colored)'!R6</f>
        <v>32.319391634980988</v>
      </c>
      <c r="S6" s="2">
        <f>'UEA30 (colored)'!S6</f>
        <v>31.939163498098861</v>
      </c>
      <c r="T6" s="2">
        <f>'UEA30 (colored)'!T6</f>
        <v>28.897338403041822</v>
      </c>
      <c r="U6" s="2">
        <f>'UEA30 (colored)'!U6</f>
        <v>30.798479087452474</v>
      </c>
      <c r="V6" s="2">
        <f>'UEA30 (colored)'!V6</f>
        <v>42.585551330798474</v>
      </c>
    </row>
    <row r="7" spans="1:22">
      <c r="A7" s="9" t="s">
        <v>1</v>
      </c>
      <c r="B7" s="2">
        <f>'UEA30 (colored)'!B7</f>
        <v>52.86606129398411</v>
      </c>
      <c r="C7" s="2">
        <f>'UEA30 (colored)'!C7</f>
        <v>61.606129398410893</v>
      </c>
      <c r="D7" s="2">
        <f>'UEA30 (colored)'!D7</f>
        <v>61.379114642451761</v>
      </c>
      <c r="E7" s="2">
        <f>'UEA30 (colored)'!E7</f>
        <v>60.981838819523269</v>
      </c>
      <c r="F7" s="2">
        <f>'UEA30 (colored)'!F7</f>
        <v>61.293984108967081</v>
      </c>
      <c r="G7" s="2">
        <f>'UEA30 (colored)'!G7</f>
        <v>69.494892167990912</v>
      </c>
      <c r="H7" s="2">
        <f>'UEA30 (colored)'!H7</f>
        <v>68.473325766174796</v>
      </c>
      <c r="I7" s="2">
        <f>'UEA30 (colored)'!I7</f>
        <v>68.530079455164582</v>
      </c>
      <c r="J7" s="3">
        <f>'UEA30 (colored)'!J7</f>
        <v>70.147559591373437</v>
      </c>
      <c r="K7" s="2">
        <f>'UEA30 (colored)'!K7</f>
        <v>66.997729852440415</v>
      </c>
      <c r="L7" s="2">
        <f>'UEA30 (colored)'!L7</f>
        <v>66.969353007945514</v>
      </c>
      <c r="M7" s="2">
        <f>'UEA30 (colored)'!M7</f>
        <v>69.665153234960272</v>
      </c>
      <c r="N7" s="2">
        <f>'UEA30 (colored)'!N7</f>
        <v>69.892167990919404</v>
      </c>
      <c r="O7" s="2">
        <f>'UEA30 (colored)'!O7</f>
        <v>68.33144154370035</v>
      </c>
      <c r="P7" s="2">
        <f>'UEA30 (colored)'!P7</f>
        <v>69.636776390465386</v>
      </c>
      <c r="Q7" s="2">
        <f>'UEA30 (colored)'!Q7</f>
        <v>68.076049943246304</v>
      </c>
      <c r="R7" s="2">
        <f>'UEA30 (colored)'!R7</f>
        <v>68.615209988649255</v>
      </c>
      <c r="S7" s="2">
        <f>'UEA30 (colored)'!S7</f>
        <v>68.416572077185009</v>
      </c>
      <c r="T7" s="2">
        <f>'UEA30 (colored)'!T7</f>
        <v>63.791146424517599</v>
      </c>
      <c r="U7" s="4">
        <f>'UEA30 (colored)'!U7</f>
        <v>70.204313280363223</v>
      </c>
      <c r="V7" s="2">
        <f>'UEA30 (colored)'!V7</f>
        <v>69.29625425652668</v>
      </c>
    </row>
    <row r="8" spans="1:22">
      <c r="A8" s="9" t="s">
        <v>2</v>
      </c>
      <c r="B8" s="2">
        <f>'UEA30 (colored)'!B8</f>
        <v>60.705882352941174</v>
      </c>
      <c r="C8" s="2">
        <f>'UEA30 (colored)'!C8</f>
        <v>59.294117647058819</v>
      </c>
      <c r="D8" s="2">
        <f>'UEA30 (colored)'!D8</f>
        <v>56.000000000000007</v>
      </c>
      <c r="E8" s="2">
        <f>'UEA30 (colored)'!E8</f>
        <v>56.35294117647058</v>
      </c>
      <c r="F8" s="2">
        <f>'UEA30 (colored)'!F8</f>
        <v>53.529411764705884</v>
      </c>
      <c r="G8" s="2">
        <f>'UEA30 (colored)'!G8</f>
        <v>23.764705882352942</v>
      </c>
      <c r="H8" s="2">
        <f>'UEA30 (colored)'!H8</f>
        <v>25.058823529411768</v>
      </c>
      <c r="I8" s="2">
        <f>'UEA30 (colored)'!I8</f>
        <v>19.647058823529413</v>
      </c>
      <c r="J8" s="2">
        <f>'UEA30 (colored)'!J8</f>
        <v>37.529411764705884</v>
      </c>
      <c r="K8" s="2">
        <f>'UEA30 (colored)'!K8</f>
        <v>30.117647058823525</v>
      </c>
      <c r="L8" s="4">
        <f>'UEA30 (colored)'!L8</f>
        <v>62</v>
      </c>
      <c r="M8" s="2">
        <f>'UEA30 (colored)'!M8</f>
        <v>33.647058823529413</v>
      </c>
      <c r="N8" s="2">
        <f>'UEA30 (colored)'!N8</f>
        <v>33.411764705882355</v>
      </c>
      <c r="O8" s="2">
        <f>'UEA30 (colored)'!O8</f>
        <v>35.647058823529406</v>
      </c>
      <c r="P8" s="2">
        <f>'UEA30 (colored)'!P8</f>
        <v>30.352941176470587</v>
      </c>
      <c r="Q8" s="2">
        <f>'UEA30 (colored)'!Q8</f>
        <v>29.52941176470588</v>
      </c>
      <c r="R8" s="2">
        <f>'UEA30 (colored)'!R8</f>
        <v>34.117647058823529</v>
      </c>
      <c r="S8" s="2">
        <f>'UEA30 (colored)'!S8</f>
        <v>31.294117647058822</v>
      </c>
      <c r="T8" s="2">
        <f>'UEA30 (colored)'!T8</f>
        <v>58.705882352941174</v>
      </c>
      <c r="U8" s="2">
        <f>'UEA30 (colored)'!U8</f>
        <v>45.058823529411761</v>
      </c>
      <c r="V8" s="3">
        <f>'UEA30 (colored)'!V8</f>
        <v>60.82352941176471</v>
      </c>
    </row>
    <row r="9" spans="1:22">
      <c r="A9" s="9" t="s">
        <v>3</v>
      </c>
      <c r="B9" s="2">
        <f>'UEA30 (colored)'!B9</f>
        <v>71.707317073170728</v>
      </c>
      <c r="C9" s="2">
        <f>'UEA30 (colored)'!C9</f>
        <v>75.609756097560975</v>
      </c>
      <c r="D9" s="2">
        <f>'UEA30 (colored)'!D9</f>
        <v>78.536585365853668</v>
      </c>
      <c r="E9" s="2">
        <f>'UEA30 (colored)'!E9</f>
        <v>76.585365853658544</v>
      </c>
      <c r="F9" s="2">
        <f>'UEA30 (colored)'!F9</f>
        <v>77.073170731707322</v>
      </c>
      <c r="G9" s="2">
        <f>'UEA30 (colored)'!G9</f>
        <v>76.585365853658544</v>
      </c>
      <c r="H9" s="2">
        <f>'UEA30 (colored)'!H9</f>
        <v>77.560975609756099</v>
      </c>
      <c r="I9" s="2">
        <f>'UEA30 (colored)'!I9</f>
        <v>79.024390243902445</v>
      </c>
      <c r="J9" s="4">
        <f>'UEA30 (colored)'!J9</f>
        <v>83.902439024390247</v>
      </c>
      <c r="K9" s="2">
        <f>'UEA30 (colored)'!K9</f>
        <v>78.048780487804876</v>
      </c>
      <c r="L9" s="2">
        <f>'UEA30 (colored)'!L9</f>
        <v>79.512195121951223</v>
      </c>
      <c r="M9" s="3">
        <f>'UEA30 (colored)'!M9</f>
        <v>80.487804878048792</v>
      </c>
      <c r="N9" s="2">
        <f>'UEA30 (colored)'!N9</f>
        <v>78.048780487804876</v>
      </c>
      <c r="O9" s="2">
        <f>'UEA30 (colored)'!O9</f>
        <v>78.536585365853668</v>
      </c>
      <c r="P9" s="2">
        <f>'UEA30 (colored)'!P9</f>
        <v>79.024390243902445</v>
      </c>
      <c r="Q9" s="2">
        <f>'UEA30 (colored)'!Q9</f>
        <v>73.658536585365852</v>
      </c>
      <c r="R9" s="2">
        <f>'UEA30 (colored)'!R9</f>
        <v>79.024390243902445</v>
      </c>
      <c r="S9" s="2">
        <f>'UEA30 (colored)'!S9</f>
        <v>78.048780487804876</v>
      </c>
      <c r="T9" s="3">
        <f>'UEA30 (colored)'!T9</f>
        <v>80.487804878048792</v>
      </c>
      <c r="U9" s="2">
        <f>'UEA30 (colored)'!U9</f>
        <v>78.536585365853668</v>
      </c>
      <c r="V9" s="2">
        <f>'UEA30 (colored)'!V9</f>
        <v>80</v>
      </c>
    </row>
    <row r="10" spans="1:22">
      <c r="A10" s="9" t="s">
        <v>43</v>
      </c>
      <c r="B10" s="2">
        <f>'UEA30 (colored)'!B10</f>
        <v>95.945945945945937</v>
      </c>
      <c r="C10" s="2">
        <f>'UEA30 (colored)'!C10</f>
        <v>83.78378378378379</v>
      </c>
      <c r="D10" s="2">
        <f>'UEA30 (colored)'!D10</f>
        <v>98.378378378378386</v>
      </c>
      <c r="E10" s="2">
        <f>'UEA30 (colored)'!E10</f>
        <v>97.837837837837839</v>
      </c>
      <c r="F10" s="2">
        <f>'UEA30 (colored)'!F10</f>
        <v>98.378378378378386</v>
      </c>
      <c r="G10" s="2">
        <f>'UEA30 (colored)'!G10</f>
        <v>96.486486486486484</v>
      </c>
      <c r="H10" s="2">
        <f>'UEA30 (colored)'!H10</f>
        <v>96.756756756756758</v>
      </c>
      <c r="I10" s="2">
        <f>'UEA30 (colored)'!I10</f>
        <v>95.945945945945937</v>
      </c>
      <c r="J10" s="2">
        <f>'UEA30 (colored)'!J10</f>
        <v>98.648648648648646</v>
      </c>
      <c r="K10" s="2">
        <f>'UEA30 (colored)'!K10</f>
        <v>98.648648648648646</v>
      </c>
      <c r="L10" s="2">
        <f>'UEA30 (colored)'!L10</f>
        <v>98.918918918918919</v>
      </c>
      <c r="M10" s="3">
        <f>'UEA30 (colored)'!M10</f>
        <v>99.189189189189193</v>
      </c>
      <c r="N10" s="2">
        <f>'UEA30 (colored)'!N10</f>
        <v>97.567567567567565</v>
      </c>
      <c r="O10" s="2">
        <f>'UEA30 (colored)'!O10</f>
        <v>98.378378378378386</v>
      </c>
      <c r="P10" s="2">
        <f>'UEA30 (colored)'!P10</f>
        <v>98.378378378378386</v>
      </c>
      <c r="Q10" s="2">
        <f>'UEA30 (colored)'!Q10</f>
        <v>97.027027027027017</v>
      </c>
      <c r="R10" s="2">
        <f>'UEA30 (colored)'!R10</f>
        <v>98.108108108108098</v>
      </c>
      <c r="S10" s="2">
        <f>'UEA30 (colored)'!S10</f>
        <v>98.108108108108098</v>
      </c>
      <c r="T10" s="4">
        <f>'UEA30 (colored)'!T10</f>
        <v>99.729729729729726</v>
      </c>
      <c r="U10" s="2">
        <f>'UEA30 (colored)'!U10</f>
        <v>98.378378378378386</v>
      </c>
      <c r="V10" s="2">
        <f>'UEA30 (colored)'!V10</f>
        <v>98.648648648648646</v>
      </c>
    </row>
    <row r="11" spans="1:22">
      <c r="A11" s="9" t="s">
        <v>44</v>
      </c>
      <c r="B11" s="2">
        <f>'UEA30 (colored)'!B11</f>
        <v>71.098265895953759</v>
      </c>
      <c r="C11" s="2">
        <f>'UEA30 (colored)'!C11</f>
        <v>84.393063583815035</v>
      </c>
      <c r="D11" s="3">
        <f>'UEA30 (colored)'!D11</f>
        <v>97.687861271676297</v>
      </c>
      <c r="E11" s="4">
        <f>'UEA30 (colored)'!E11</f>
        <v>98.265895953757223</v>
      </c>
      <c r="F11" s="2">
        <f>'UEA30 (colored)'!F11</f>
        <v>82.658959537572258</v>
      </c>
      <c r="G11" s="2">
        <f>'UEA30 (colored)'!G11</f>
        <v>82.658959537572258</v>
      </c>
      <c r="H11" s="2">
        <f>'UEA30 (colored)'!H11</f>
        <v>87.861271676300575</v>
      </c>
      <c r="I11" s="2">
        <f>'UEA30 (colored)'!I11</f>
        <v>82.080924855491332</v>
      </c>
      <c r="J11" s="2">
        <f>'UEA30 (colored)'!J11</f>
        <v>87.861271676300575</v>
      </c>
      <c r="K11" s="2">
        <f>'UEA30 (colored)'!K11</f>
        <v>86.705202312138724</v>
      </c>
      <c r="L11" s="2">
        <f>'UEA30 (colored)'!L11</f>
        <v>89.017341040462426</v>
      </c>
      <c r="M11" s="2">
        <f>'UEA30 (colored)'!M11</f>
        <v>89.017341040462426</v>
      </c>
      <c r="N11" s="2">
        <f>'UEA30 (colored)'!N11</f>
        <v>89.017341040462426</v>
      </c>
      <c r="O11" s="2">
        <f>'UEA30 (colored)'!O11</f>
        <v>87.861271676300575</v>
      </c>
      <c r="P11" s="2">
        <f>'UEA30 (colored)'!P11</f>
        <v>89.595375722543352</v>
      </c>
      <c r="Q11" s="2">
        <f>'UEA30 (colored)'!Q11</f>
        <v>89.017341040462426</v>
      </c>
      <c r="R11" s="2">
        <f>'UEA30 (colored)'!R11</f>
        <v>88.439306358381501</v>
      </c>
      <c r="S11" s="2">
        <f>'UEA30 (colored)'!S11</f>
        <v>91.329479768786129</v>
      </c>
      <c r="T11" s="2">
        <f>'UEA30 (colored)'!T11</f>
        <v>86.127167630057798</v>
      </c>
      <c r="U11" s="2">
        <f>'UEA30 (colored)'!U11</f>
        <v>90.173410404624278</v>
      </c>
      <c r="V11" s="2">
        <f>'UEA30 (colored)'!V11</f>
        <v>85.549132947976886</v>
      </c>
    </row>
    <row r="12" spans="1:22">
      <c r="A12" s="9" t="s">
        <v>45</v>
      </c>
      <c r="B12" s="2">
        <f>'UEA30 (colored)'!B12</f>
        <v>77.474402730375431</v>
      </c>
      <c r="C12" s="2">
        <f>'UEA30 (colored)'!C12</f>
        <v>85.665529010238899</v>
      </c>
      <c r="D12" s="2">
        <f>'UEA30 (colored)'!D12</f>
        <v>89.078498293515366</v>
      </c>
      <c r="E12" s="2">
        <f>'UEA30 (colored)'!E12</f>
        <v>86.689419795221852</v>
      </c>
      <c r="F12" s="4">
        <f>'UEA30 (colored)'!F12</f>
        <v>94.88054607508532</v>
      </c>
      <c r="G12" s="2">
        <f>'UEA30 (colored)'!G12</f>
        <v>92.832764505119457</v>
      </c>
      <c r="H12" s="2">
        <f>'UEA30 (colored)'!H12</f>
        <v>92.832764505119457</v>
      </c>
      <c r="I12" s="2">
        <f>'UEA30 (colored)'!I12</f>
        <v>78.839590443686006</v>
      </c>
      <c r="J12" s="2">
        <f>'UEA30 (colored)'!J12</f>
        <v>92.150170648464169</v>
      </c>
      <c r="K12" s="2">
        <f>'UEA30 (colored)'!K12</f>
        <v>93.515358361774744</v>
      </c>
      <c r="L12" s="2">
        <f>'UEA30 (colored)'!L12</f>
        <v>89.761092150170654</v>
      </c>
      <c r="M12" s="2">
        <f>'UEA30 (colored)'!M12</f>
        <v>92.150170648464169</v>
      </c>
      <c r="N12" s="2">
        <f>'UEA30 (colored)'!N12</f>
        <v>75.085324232081902</v>
      </c>
      <c r="O12" s="2">
        <f>'UEA30 (colored)'!O12</f>
        <v>92.150170648464169</v>
      </c>
      <c r="P12" s="3">
        <f>'UEA30 (colored)'!P12</f>
        <v>93.856655290102381</v>
      </c>
      <c r="Q12" s="2">
        <f>'UEA30 (colored)'!Q12</f>
        <v>89.078498293515366</v>
      </c>
      <c r="R12" s="2">
        <f>'UEA30 (colored)'!R12</f>
        <v>93.174061433447093</v>
      </c>
      <c r="S12" s="3">
        <f>'UEA30 (colored)'!S12</f>
        <v>93.856655290102381</v>
      </c>
      <c r="T12" s="2">
        <f>'UEA30 (colored)'!T12</f>
        <v>90.443686006825942</v>
      </c>
      <c r="U12" s="2">
        <f>'UEA30 (colored)'!U12</f>
        <v>92.832764505119457</v>
      </c>
      <c r="V12" s="2">
        <f>'UEA30 (colored)'!V12</f>
        <v>92.491467576791806</v>
      </c>
    </row>
    <row r="13" spans="1:22">
      <c r="A13" s="9" t="s">
        <v>46</v>
      </c>
      <c r="B13" s="2">
        <f>'UEA30 (colored)'!B13</f>
        <v>53.888888888888886</v>
      </c>
      <c r="C13" s="2">
        <f>'UEA30 (colored)'!C13</f>
        <v>55.555555555555557</v>
      </c>
      <c r="D13" s="2">
        <f>'UEA30 (colored)'!D13</f>
        <v>54.444444444444443</v>
      </c>
      <c r="E13" s="2">
        <f>'UEA30 (colored)'!E13</f>
        <v>58.888888888888893</v>
      </c>
      <c r="F13" s="2">
        <f>'UEA30 (colored)'!F13</f>
        <v>55.000000000000007</v>
      </c>
      <c r="G13" s="2">
        <f>'UEA30 (colored)'!G13</f>
        <v>57.222222222222221</v>
      </c>
      <c r="H13" s="2">
        <f>'UEA30 (colored)'!H13</f>
        <v>59.444444444444443</v>
      </c>
      <c r="I13" s="2">
        <f>'UEA30 (colored)'!I13</f>
        <v>58.333333333333336</v>
      </c>
      <c r="J13" s="2">
        <f>'UEA30 (colored)'!J13</f>
        <v>60</v>
      </c>
      <c r="K13" s="2">
        <f>'UEA30 (colored)'!K13</f>
        <v>60</v>
      </c>
      <c r="L13" s="3">
        <f>'UEA30 (colored)'!L13</f>
        <v>63.888888888888886</v>
      </c>
      <c r="M13" s="2">
        <f>'UEA30 (colored)'!M13</f>
        <v>60.55555555555555</v>
      </c>
      <c r="N13" s="2">
        <f>'UEA30 (colored)'!N13</f>
        <v>59.444444444444443</v>
      </c>
      <c r="O13" s="2">
        <f>'UEA30 (colored)'!O13</f>
        <v>60</v>
      </c>
      <c r="P13" s="2">
        <f>'UEA30 (colored)'!P13</f>
        <v>61.666666666666671</v>
      </c>
      <c r="Q13" s="2">
        <f>'UEA30 (colored)'!Q13</f>
        <v>61.666666666666671</v>
      </c>
      <c r="R13" s="2">
        <f>'UEA30 (colored)'!R13</f>
        <v>60.55555555555555</v>
      </c>
      <c r="S13" s="2">
        <f>'UEA30 (colored)'!S13</f>
        <v>58.888888888888893</v>
      </c>
      <c r="T13" s="2">
        <f>'UEA30 (colored)'!T13</f>
        <v>58.333333333333336</v>
      </c>
      <c r="U13" s="2">
        <f>'UEA30 (colored)'!U13</f>
        <v>62.222222222222221</v>
      </c>
      <c r="V13" s="4">
        <f>'UEA30 (colored)'!V13</f>
        <v>65</v>
      </c>
    </row>
    <row r="14" spans="1:22">
      <c r="A14" s="9" t="s">
        <v>47</v>
      </c>
      <c r="B14" s="2">
        <f>'UEA30 (colored)'!B14</f>
        <v>97.226011823556163</v>
      </c>
      <c r="C14" s="2">
        <f>'UEA30 (colored)'!C14</f>
        <v>99.226921327876312</v>
      </c>
      <c r="D14" s="2">
        <f>'UEA30 (colored)'!D14</f>
        <v>99.13597089586176</v>
      </c>
      <c r="E14" s="2">
        <f>'UEA30 (colored)'!E14</f>
        <v>99.13597089586176</v>
      </c>
      <c r="F14" s="2">
        <f>'UEA30 (colored)'!F14</f>
        <v>99.045020463847194</v>
      </c>
      <c r="G14" s="2">
        <f>'UEA30 (colored)'!G14</f>
        <v>96.953160527512509</v>
      </c>
      <c r="H14" s="2">
        <f>'UEA30 (colored)'!H14</f>
        <v>98.226466575716231</v>
      </c>
      <c r="I14" s="2">
        <f>'UEA30 (colored)'!I14</f>
        <v>99.454297407912691</v>
      </c>
      <c r="J14" s="2">
        <f>'UEA30 (colored)'!J14</f>
        <v>99.545247839927242</v>
      </c>
      <c r="K14" s="2">
        <f>'UEA30 (colored)'!K14</f>
        <v>99.499772623919966</v>
      </c>
      <c r="L14" s="2">
        <f>'UEA30 (colored)'!L14</f>
        <v>98.044565711687127</v>
      </c>
      <c r="M14" s="2">
        <f>'UEA30 (colored)'!M14</f>
        <v>99.545247839927242</v>
      </c>
      <c r="N14" s="2">
        <f>'UEA30 (colored)'!N14</f>
        <v>99.454297407912691</v>
      </c>
      <c r="O14" s="2">
        <f>'UEA30 (colored)'!O14</f>
        <v>98.999545247839933</v>
      </c>
      <c r="P14" s="2">
        <f>'UEA30 (colored)'!P14</f>
        <v>98.863119599818091</v>
      </c>
      <c r="Q14" s="2">
        <f>'UEA30 (colored)'!Q14</f>
        <v>98.817644383810816</v>
      </c>
      <c r="R14" s="2">
        <f>'UEA30 (colored)'!R14</f>
        <v>99.590723055934518</v>
      </c>
      <c r="S14" s="2">
        <f>'UEA30 (colored)'!S14</f>
        <v>99.317871759890863</v>
      </c>
      <c r="T14" s="3">
        <f>'UEA30 (colored)'!T14</f>
        <v>99.863574351978173</v>
      </c>
      <c r="U14" s="2">
        <f>'UEA30 (colored)'!U14</f>
        <v>95.8162801273306</v>
      </c>
      <c r="V14" s="4">
        <f>'UEA30 (colored)'!V14</f>
        <v>99.954524783992724</v>
      </c>
    </row>
    <row r="15" spans="1:22">
      <c r="A15" s="9" t="s">
        <v>48</v>
      </c>
      <c r="B15" s="2">
        <f>'UEA30 (colored)'!B15</f>
        <v>90.3125</v>
      </c>
      <c r="C15" s="2">
        <f>'UEA30 (colored)'!C15</f>
        <v>94.0625</v>
      </c>
      <c r="D15" s="2">
        <f>'UEA30 (colored)'!D15</f>
        <v>94.0625</v>
      </c>
      <c r="E15" s="3">
        <f>'UEA30 (colored)'!E15</f>
        <v>94.375</v>
      </c>
      <c r="F15" s="2">
        <f>'UEA30 (colored)'!F15</f>
        <v>94.0625</v>
      </c>
      <c r="G15" s="2">
        <f>'UEA30 (colored)'!G15</f>
        <v>82.8125</v>
      </c>
      <c r="H15" s="2">
        <f>'UEA30 (colored)'!H15</f>
        <v>89.0625</v>
      </c>
      <c r="I15" s="2">
        <f>'UEA30 (colored)'!I15</f>
        <v>83.125</v>
      </c>
      <c r="J15" s="2">
        <f>'UEA30 (colored)'!J15</f>
        <v>88.4375</v>
      </c>
      <c r="K15" s="2">
        <f>'UEA30 (colored)'!K15</f>
        <v>88.4375</v>
      </c>
      <c r="L15" s="3">
        <f>'UEA30 (colored)'!L15</f>
        <v>94.375</v>
      </c>
      <c r="M15" s="2">
        <f>'UEA30 (colored)'!M15</f>
        <v>90.625</v>
      </c>
      <c r="N15" s="2">
        <f>'UEA30 (colored)'!N15</f>
        <v>79.6875</v>
      </c>
      <c r="O15" s="2">
        <f>'UEA30 (colored)'!O15</f>
        <v>89.6875</v>
      </c>
      <c r="P15" s="2">
        <f>'UEA30 (colored)'!P15</f>
        <v>88.4375</v>
      </c>
      <c r="Q15" s="2">
        <f>'UEA30 (colored)'!Q15</f>
        <v>89.375</v>
      </c>
      <c r="R15" s="2">
        <f>'UEA30 (colored)'!R15</f>
        <v>89.0625</v>
      </c>
      <c r="S15" s="2">
        <f>'UEA30 (colored)'!S15</f>
        <v>90</v>
      </c>
      <c r="T15" s="2">
        <f>'UEA30 (colored)'!T15</f>
        <v>88.4375</v>
      </c>
      <c r="U15" s="4">
        <f>'UEA30 (colored)'!U15</f>
        <v>95.3125</v>
      </c>
      <c r="V15" s="2">
        <f>'UEA30 (colored)'!V15</f>
        <v>93.4375</v>
      </c>
    </row>
    <row r="16" spans="1:22">
      <c r="A16" s="9" t="s">
        <v>4</v>
      </c>
      <c r="B16" s="2">
        <f>'UEA30 (colored)'!B16</f>
        <v>98.666666666666671</v>
      </c>
      <c r="C16" s="4">
        <f>'UEA30 (colored)'!C16</f>
        <v>99.333333333333329</v>
      </c>
      <c r="D16" s="4">
        <f>'UEA30 (colored)'!D16</f>
        <v>99.333333333333329</v>
      </c>
      <c r="E16" s="4">
        <f>'UEA30 (colored)'!E16</f>
        <v>99.333333333333329</v>
      </c>
      <c r="F16" s="4">
        <f>'UEA30 (colored)'!F16</f>
        <v>99.333333333333329</v>
      </c>
      <c r="G16" s="2">
        <f>'UEA30 (colored)'!G16</f>
        <v>97.666666666666671</v>
      </c>
      <c r="H16" s="2">
        <f>'UEA30 (colored)'!H16</f>
        <v>98.333333333333329</v>
      </c>
      <c r="I16" s="3">
        <f>'UEA30 (colored)'!I16</f>
        <v>99</v>
      </c>
      <c r="J16" s="2">
        <f>'UEA30 (colored)'!J16</f>
        <v>98.666666666666671</v>
      </c>
      <c r="K16" s="2">
        <f>'UEA30 (colored)'!K16</f>
        <v>98.666666666666671</v>
      </c>
      <c r="L16" s="4">
        <f>'UEA30 (colored)'!L16</f>
        <v>99.333333333333329</v>
      </c>
      <c r="M16" s="3">
        <f>'UEA30 (colored)'!M16</f>
        <v>99</v>
      </c>
      <c r="N16" s="2">
        <f>'UEA30 (colored)'!N16</f>
        <v>92.333333333333329</v>
      </c>
      <c r="O16" s="2">
        <f>'UEA30 (colored)'!O16</f>
        <v>98.666666666666671</v>
      </c>
      <c r="P16" s="2">
        <f>'UEA30 (colored)'!P16</f>
        <v>98.666666666666671</v>
      </c>
      <c r="Q16" s="2">
        <f>'UEA30 (colored)'!Q16</f>
        <v>98.666666666666671</v>
      </c>
      <c r="R16" s="2">
        <f>'UEA30 (colored)'!R16</f>
        <v>98.666666666666671</v>
      </c>
      <c r="S16" s="3">
        <f>'UEA30 (colored)'!S16</f>
        <v>99</v>
      </c>
      <c r="T16" s="3">
        <f>'UEA30 (colored)'!T16</f>
        <v>99</v>
      </c>
      <c r="U16" s="4">
        <f>'UEA30 (colored)'!U16</f>
        <v>99.333333333333329</v>
      </c>
      <c r="V16" s="4">
        <f>'UEA30 (colored)'!V16</f>
        <v>99.333333333333329</v>
      </c>
    </row>
    <row r="17" spans="1:22">
      <c r="A17" s="9" t="s">
        <v>5</v>
      </c>
      <c r="B17" s="2">
        <f>'UEA30 (colored)'!B17</f>
        <v>20</v>
      </c>
      <c r="C17" s="2">
        <f>'UEA30 (colored)'!C17</f>
        <v>6.666666666666667</v>
      </c>
      <c r="D17" s="2">
        <f>'UEA30 (colored)'!D17</f>
        <v>20</v>
      </c>
      <c r="E17" s="2">
        <f>'UEA30 (colored)'!E17</f>
        <v>26.666666666666668</v>
      </c>
      <c r="F17" s="2">
        <f>'UEA30 (colored)'!F17</f>
        <v>6.666666666666667</v>
      </c>
      <c r="G17" s="2">
        <f>'UEA30 (colored)'!G17</f>
        <v>53.333333333333336</v>
      </c>
      <c r="H17" s="3">
        <f>'UEA30 (colored)'!H17</f>
        <v>73.333333333333329</v>
      </c>
      <c r="I17" s="2">
        <f>'UEA30 (colored)'!I17</f>
        <v>60</v>
      </c>
      <c r="J17" s="2">
        <f>'UEA30 (colored)'!J17</f>
        <v>66.666666666666657</v>
      </c>
      <c r="K17" s="3">
        <f>'UEA30 (colored)'!K17</f>
        <v>73.333333333333329</v>
      </c>
      <c r="L17" s="2">
        <f>'UEA30 (colored)'!L17</f>
        <v>66.666666666666657</v>
      </c>
      <c r="M17" s="2">
        <f>'UEA30 (colored)'!M17</f>
        <v>66.666666666666657</v>
      </c>
      <c r="N17" s="3">
        <f>'UEA30 (colored)'!N17</f>
        <v>73.333333333333329</v>
      </c>
      <c r="O17" s="4">
        <f>'UEA30 (colored)'!O17</f>
        <v>80</v>
      </c>
      <c r="P17" s="3">
        <f>'UEA30 (colored)'!P17</f>
        <v>73.333333333333329</v>
      </c>
      <c r="Q17" s="4">
        <f>'UEA30 (colored)'!Q17</f>
        <v>80</v>
      </c>
      <c r="R17" s="2">
        <f>'UEA30 (colored)'!R17</f>
        <v>66.666666666666657</v>
      </c>
      <c r="S17" s="2">
        <f>'UEA30 (colored)'!S17</f>
        <v>66.666666666666657</v>
      </c>
      <c r="T17" s="2">
        <f>'UEA30 (colored)'!T17</f>
        <v>46.666666666666664</v>
      </c>
      <c r="U17" s="2">
        <f>'UEA30 (colored)'!U17</f>
        <v>66.666666666666657</v>
      </c>
      <c r="V17" s="2">
        <f>'UEA30 (colored)'!V17</f>
        <v>53.333333333333336</v>
      </c>
    </row>
    <row r="18" spans="1:22">
      <c r="A18" s="9" t="s">
        <v>6</v>
      </c>
      <c r="B18" s="3">
        <f>'UEA30 (colored)'!B18</f>
        <v>97.5</v>
      </c>
      <c r="C18" s="4">
        <f>'UEA30 (colored)'!C18</f>
        <v>100</v>
      </c>
      <c r="D18" s="4">
        <f>'UEA30 (colored)'!D18</f>
        <v>100</v>
      </c>
      <c r="E18" s="4">
        <f>'UEA30 (colored)'!E18</f>
        <v>100</v>
      </c>
      <c r="F18" s="4">
        <f>'UEA30 (colored)'!F18</f>
        <v>100</v>
      </c>
      <c r="G18" s="2">
        <f>'UEA30 (colored)'!G18</f>
        <v>87.5</v>
      </c>
      <c r="H18" s="4">
        <f>'UEA30 (colored)'!H18</f>
        <v>100</v>
      </c>
      <c r="I18" s="4">
        <f>'UEA30 (colored)'!I18</f>
        <v>100</v>
      </c>
      <c r="J18" s="4">
        <f>'UEA30 (colored)'!J18</f>
        <v>100</v>
      </c>
      <c r="K18" s="4">
        <f>'UEA30 (colored)'!K18</f>
        <v>100</v>
      </c>
      <c r="L18" s="4">
        <f>'UEA30 (colored)'!L18</f>
        <v>100</v>
      </c>
      <c r="M18" s="4">
        <f>'UEA30 (colored)'!M18</f>
        <v>100</v>
      </c>
      <c r="N18" s="2">
        <f>'UEA30 (colored)'!N18</f>
        <v>95</v>
      </c>
      <c r="O18" s="4">
        <f>'UEA30 (colored)'!O18</f>
        <v>100</v>
      </c>
      <c r="P18" s="4">
        <f>'UEA30 (colored)'!P18</f>
        <v>100</v>
      </c>
      <c r="Q18" s="2">
        <f>'UEA30 (colored)'!Q18</f>
        <v>85</v>
      </c>
      <c r="R18" s="4">
        <f>'UEA30 (colored)'!R18</f>
        <v>100</v>
      </c>
      <c r="S18" s="3">
        <f>'UEA30 (colored)'!S18</f>
        <v>97.5</v>
      </c>
      <c r="T18" s="4">
        <f>'UEA30 (colored)'!T18</f>
        <v>100</v>
      </c>
      <c r="U18" s="4">
        <f>'UEA30 (colored)'!U18</f>
        <v>100</v>
      </c>
      <c r="V18" s="4">
        <f>'UEA30 (colored)'!V18</f>
        <v>100</v>
      </c>
    </row>
    <row r="19" spans="1:22">
      <c r="A19" s="9" t="s">
        <v>49</v>
      </c>
      <c r="B19" s="2">
        <f>'UEA30 (colored)'!B19</f>
        <v>98.816155988857929</v>
      </c>
      <c r="C19" s="2">
        <f>'UEA30 (colored)'!C19</f>
        <v>99.30362116991644</v>
      </c>
      <c r="D19" s="2">
        <f>'UEA30 (colored)'!D19</f>
        <v>99.30362116991644</v>
      </c>
      <c r="E19" s="2">
        <f>'UEA30 (colored)'!E19</f>
        <v>99.164345403899716</v>
      </c>
      <c r="F19" s="2">
        <f>'UEA30 (colored)'!F19</f>
        <v>99.373259052924794</v>
      </c>
      <c r="G19" s="2">
        <f>'UEA30 (colored)'!G19</f>
        <v>98.119777158774369</v>
      </c>
      <c r="H19" s="2">
        <f>'UEA30 (colored)'!H19</f>
        <v>98.955431754874652</v>
      </c>
      <c r="I19" s="2">
        <f>'UEA30 (colored)'!I19</f>
        <v>97.98050139275766</v>
      </c>
      <c r="J19" s="2">
        <f>'UEA30 (colored)'!J19</f>
        <v>98.746518105849574</v>
      </c>
      <c r="K19" s="2">
        <f>'UEA30 (colored)'!K19</f>
        <v>99.30362116991644</v>
      </c>
      <c r="L19" s="2">
        <f>'UEA30 (colored)'!L19</f>
        <v>99.164345403899716</v>
      </c>
      <c r="M19" s="2">
        <f>'UEA30 (colored)'!M19</f>
        <v>99.373259052924794</v>
      </c>
      <c r="N19" s="2">
        <f>'UEA30 (colored)'!N19</f>
        <v>97.284122562674085</v>
      </c>
      <c r="O19" s="2">
        <f>'UEA30 (colored)'!O19</f>
        <v>98.467966573816156</v>
      </c>
      <c r="P19" s="2">
        <f>'UEA30 (colored)'!P19</f>
        <v>98.955431754874652</v>
      </c>
      <c r="Q19" s="2">
        <f>'UEA30 (colored)'!Q19</f>
        <v>98.398328690807801</v>
      </c>
      <c r="R19" s="2">
        <f>'UEA30 (colored)'!R19</f>
        <v>99.373259052924794</v>
      </c>
      <c r="S19" s="2">
        <f>'UEA30 (colored)'!S19</f>
        <v>98.885793871866284</v>
      </c>
      <c r="T19" s="4">
        <f>'UEA30 (colored)'!T19</f>
        <v>99.791086350974936</v>
      </c>
      <c r="U19" s="2">
        <f>'UEA30 (colored)'!U19</f>
        <v>99.512534818941504</v>
      </c>
      <c r="V19" s="3">
        <f>'UEA30 (colored)'!V19</f>
        <v>99.721448467966582</v>
      </c>
    </row>
    <row r="20" spans="1:22">
      <c r="A20" s="9" t="s">
        <v>7</v>
      </c>
      <c r="B20" s="4">
        <f>'UEA30 (colored)'!B20</f>
        <v>100</v>
      </c>
      <c r="C20" s="4">
        <f>'UEA30 (colored)'!C20</f>
        <v>100</v>
      </c>
      <c r="D20" s="4">
        <f>'UEA30 (colored)'!D20</f>
        <v>100</v>
      </c>
      <c r="E20" s="4">
        <f>'UEA30 (colored)'!E20</f>
        <v>100</v>
      </c>
      <c r="F20" s="3">
        <f>'UEA30 (colored)'!F20</f>
        <v>98.611111111111114</v>
      </c>
      <c r="G20" s="2">
        <f>'UEA30 (colored)'!G20</f>
        <v>91.666666666666657</v>
      </c>
      <c r="H20" s="2">
        <f>'UEA30 (colored)'!H20</f>
        <v>93.055555555555557</v>
      </c>
      <c r="I20" s="2">
        <f>'UEA30 (colored)'!I20</f>
        <v>97.222222222222214</v>
      </c>
      <c r="J20" s="2">
        <f>'UEA30 (colored)'!J20</f>
        <v>97.222222222222214</v>
      </c>
      <c r="K20" s="2">
        <f>'UEA30 (colored)'!K20</f>
        <v>97.222222222222214</v>
      </c>
      <c r="L20" s="2">
        <f>'UEA30 (colored)'!L20</f>
        <v>91.666666666666657</v>
      </c>
      <c r="M20" s="3">
        <f>'UEA30 (colored)'!M20</f>
        <v>98.611111111111114</v>
      </c>
      <c r="N20" s="2">
        <f>'UEA30 (colored)'!N20</f>
        <v>90.277777777777786</v>
      </c>
      <c r="O20" s="3">
        <f>'UEA30 (colored)'!O20</f>
        <v>98.611111111111114</v>
      </c>
      <c r="P20" s="2">
        <f>'UEA30 (colored)'!P20</f>
        <v>97.222222222222214</v>
      </c>
      <c r="Q20" s="2">
        <f>'UEA30 (colored)'!Q20</f>
        <v>97.222222222222214</v>
      </c>
      <c r="R20" s="2">
        <f>'UEA30 (colored)'!R20</f>
        <v>97.222222222222214</v>
      </c>
      <c r="S20" s="2">
        <f>'UEA30 (colored)'!S20</f>
        <v>97.222222222222214</v>
      </c>
      <c r="T20" s="4">
        <f>'UEA30 (colored)'!T20</f>
        <v>100</v>
      </c>
      <c r="U20" s="4">
        <f>'UEA30 (colored)'!U20</f>
        <v>100</v>
      </c>
      <c r="V20" s="4">
        <f>'UEA30 (colored)'!V20</f>
        <v>100</v>
      </c>
    </row>
    <row r="21" spans="1:22">
      <c r="A21" s="9" t="s">
        <v>8</v>
      </c>
      <c r="B21" s="2">
        <f>'UEA30 (colored)'!B21</f>
        <v>57.999999999999993</v>
      </c>
      <c r="C21" s="2">
        <f>'UEA30 (colored)'!C21</f>
        <v>52</v>
      </c>
      <c r="D21" s="2">
        <f>'UEA30 (colored)'!D21</f>
        <v>70</v>
      </c>
      <c r="E21" s="2">
        <f>'UEA30 (colored)'!E21</f>
        <v>68</v>
      </c>
      <c r="F21" s="2">
        <f>'UEA30 (colored)'!F21</f>
        <v>60</v>
      </c>
      <c r="G21" s="2">
        <f>'UEA30 (colored)'!G21</f>
        <v>66</v>
      </c>
      <c r="H21" s="2">
        <f>'UEA30 (colored)'!H21</f>
        <v>56.000000000000007</v>
      </c>
      <c r="I21" s="2">
        <f>'UEA30 (colored)'!I21</f>
        <v>68</v>
      </c>
      <c r="J21" s="2">
        <f>'UEA30 (colored)'!J21</f>
        <v>68</v>
      </c>
      <c r="K21" s="2">
        <f>'UEA30 (colored)'!K21</f>
        <v>66</v>
      </c>
      <c r="L21" s="3">
        <f>'UEA30 (colored)'!L21</f>
        <v>74</v>
      </c>
      <c r="M21" s="3">
        <f>'UEA30 (colored)'!M21</f>
        <v>74</v>
      </c>
      <c r="N21" s="2">
        <f>'UEA30 (colored)'!N21</f>
        <v>42</v>
      </c>
      <c r="O21" s="2">
        <f>'UEA30 (colored)'!O21</f>
        <v>42</v>
      </c>
      <c r="P21" s="2">
        <f>'UEA30 (colored)'!P21</f>
        <v>72</v>
      </c>
      <c r="Q21" s="2">
        <f>'UEA30 (colored)'!Q21</f>
        <v>40</v>
      </c>
      <c r="R21" s="2">
        <f>'UEA30 (colored)'!R21</f>
        <v>66</v>
      </c>
      <c r="S21" s="2">
        <f>'UEA30 (colored)'!S21</f>
        <v>60</v>
      </c>
      <c r="T21" s="4">
        <f>'UEA30 (colored)'!T21</f>
        <v>76</v>
      </c>
      <c r="U21" s="2">
        <f>'UEA30 (colored)'!U21</f>
        <v>50</v>
      </c>
      <c r="V21" s="2">
        <f>'UEA30 (colored)'!V21</f>
        <v>70</v>
      </c>
    </row>
    <row r="22" spans="1:22">
      <c r="A22" s="9" t="s">
        <v>9</v>
      </c>
      <c r="B22" s="2">
        <f>'UEA30 (colored)'!B22</f>
        <v>61.832061068702295</v>
      </c>
      <c r="C22" s="2">
        <f>'UEA30 (colored)'!C22</f>
        <v>91.603053435114504</v>
      </c>
      <c r="D22" s="3">
        <f>'UEA30 (colored)'!D22</f>
        <v>97.70992366412213</v>
      </c>
      <c r="E22" s="4">
        <f>'UEA30 (colored)'!E22</f>
        <v>98.473282442748086</v>
      </c>
      <c r="F22" s="4">
        <f>'UEA30 (colored)'!F22</f>
        <v>98.473282442748086</v>
      </c>
      <c r="G22" s="2">
        <f>'UEA30 (colored)'!G22</f>
        <v>42.748091603053432</v>
      </c>
      <c r="H22" s="2">
        <f>'UEA30 (colored)'!H22</f>
        <v>54.198473282442748</v>
      </c>
      <c r="I22" s="2">
        <f>'UEA30 (colored)'!I22</f>
        <v>66.412213740458014</v>
      </c>
      <c r="J22" s="2">
        <f>'UEA30 (colored)'!J22</f>
        <v>63.358778625954194</v>
      </c>
      <c r="K22" s="2">
        <f>'UEA30 (colored)'!K22</f>
        <v>64.122137404580144</v>
      </c>
      <c r="L22" s="2">
        <f>'UEA30 (colored)'!L22</f>
        <v>81.679389312977108</v>
      </c>
      <c r="M22" s="2">
        <f>'UEA30 (colored)'!M22</f>
        <v>61.068702290076338</v>
      </c>
      <c r="N22" s="2">
        <f>'UEA30 (colored)'!N22</f>
        <v>63.358778625954194</v>
      </c>
      <c r="O22" s="2">
        <f>'UEA30 (colored)'!O22</f>
        <v>70.992366412213741</v>
      </c>
      <c r="P22" s="2">
        <f>'UEA30 (colored)'!P22</f>
        <v>58.015267175572518</v>
      </c>
      <c r="Q22" s="2">
        <f>'UEA30 (colored)'!Q22</f>
        <v>57.251908396946561</v>
      </c>
      <c r="R22" s="2">
        <f>'UEA30 (colored)'!R22</f>
        <v>66.412213740458014</v>
      </c>
      <c r="S22" s="2">
        <f>'UEA30 (colored)'!S22</f>
        <v>59.541984732824424</v>
      </c>
      <c r="T22" s="2">
        <f>'UEA30 (colored)'!T22</f>
        <v>82.44274809160305</v>
      </c>
      <c r="U22" s="2">
        <f>'UEA30 (colored)'!U22</f>
        <v>88.549618320610691</v>
      </c>
      <c r="V22" s="2">
        <f>'UEA30 (colored)'!V22</f>
        <v>83.969465648854964</v>
      </c>
    </row>
    <row r="23" spans="1:22">
      <c r="A23" s="9" t="s">
        <v>10</v>
      </c>
      <c r="B23" s="2">
        <f>'UEA30 (colored)'!B23</f>
        <v>96.376811594202891</v>
      </c>
      <c r="C23" s="3">
        <f>'UEA30 (colored)'!C23</f>
        <v>99.275362318840578</v>
      </c>
      <c r="D23" s="4">
        <f>'UEA30 (colored)'!D23</f>
        <v>100</v>
      </c>
      <c r="E23" s="4">
        <f>'UEA30 (colored)'!E23</f>
        <v>100</v>
      </c>
      <c r="F23" s="4">
        <f>'UEA30 (colored)'!F23</f>
        <v>100</v>
      </c>
      <c r="G23" s="2">
        <f>'UEA30 (colored)'!G23</f>
        <v>65.217391304347828</v>
      </c>
      <c r="H23" s="2">
        <f>'UEA30 (colored)'!H23</f>
        <v>97.101449275362313</v>
      </c>
      <c r="I23" s="2">
        <f>'UEA30 (colored)'!I23</f>
        <v>66.666666666666657</v>
      </c>
      <c r="J23" s="2">
        <f>'UEA30 (colored)'!J23</f>
        <v>96.376811594202891</v>
      </c>
      <c r="K23" s="2">
        <f>'UEA30 (colored)'!K23</f>
        <v>96.376811594202891</v>
      </c>
      <c r="L23" s="4">
        <f>'UEA30 (colored)'!L23</f>
        <v>100</v>
      </c>
      <c r="M23" s="2">
        <f>'UEA30 (colored)'!M23</f>
        <v>94.927536231884062</v>
      </c>
      <c r="N23" s="2">
        <f>'UEA30 (colored)'!N23</f>
        <v>92.753623188405797</v>
      </c>
      <c r="O23" s="2">
        <f>'UEA30 (colored)'!O23</f>
        <v>92.753623188405797</v>
      </c>
      <c r="P23" s="2">
        <f>'UEA30 (colored)'!P23</f>
        <v>95.652173913043484</v>
      </c>
      <c r="Q23" s="2">
        <f>'UEA30 (colored)'!Q23</f>
        <v>98.550724637681171</v>
      </c>
      <c r="R23" s="2">
        <f>'UEA30 (colored)'!R23</f>
        <v>89.85507246376811</v>
      </c>
      <c r="S23" s="2">
        <f>'UEA30 (colored)'!S23</f>
        <v>80.434782608695656</v>
      </c>
      <c r="T23" s="2">
        <f>'UEA30 (colored)'!T23</f>
        <v>97.826086956521735</v>
      </c>
      <c r="U23" s="3">
        <f>'UEA30 (colored)'!U23</f>
        <v>99.275362318840578</v>
      </c>
      <c r="V23" s="2">
        <f>'UEA30 (colored)'!V23</f>
        <v>97.826086956521735</v>
      </c>
    </row>
    <row r="24" spans="1:22">
      <c r="A24" s="9" t="s">
        <v>50</v>
      </c>
      <c r="B24" s="2">
        <f>'UEA30 (colored)'!B24</f>
        <v>91.481481481481481</v>
      </c>
      <c r="C24" s="3">
        <f>'UEA30 (colored)'!C24</f>
        <v>98.888888888888886</v>
      </c>
      <c r="D24" s="3">
        <f>'UEA30 (colored)'!D24</f>
        <v>98.888888888888886</v>
      </c>
      <c r="E24" s="3">
        <f>'UEA30 (colored)'!E24</f>
        <v>98.888888888888886</v>
      </c>
      <c r="F24" s="4">
        <f>'UEA30 (colored)'!F24</f>
        <v>99.259259259259252</v>
      </c>
      <c r="G24" s="2">
        <f>'UEA30 (colored)'!G24</f>
        <v>91.851851851851848</v>
      </c>
      <c r="H24" s="2">
        <f>'UEA30 (colored)'!H24</f>
        <v>94.444444444444443</v>
      </c>
      <c r="I24" s="2">
        <f>'UEA30 (colored)'!I24</f>
        <v>77.777777777777786</v>
      </c>
      <c r="J24" s="2">
        <f>'UEA30 (colored)'!J24</f>
        <v>95.555555555555557</v>
      </c>
      <c r="K24" s="2">
        <f>'UEA30 (colored)'!K24</f>
        <v>97.407407407407405</v>
      </c>
      <c r="L24" s="2">
        <f>'UEA30 (colored)'!L24</f>
        <v>85.925925925925924</v>
      </c>
      <c r="M24" s="2">
        <f>'UEA30 (colored)'!M24</f>
        <v>96.296296296296291</v>
      </c>
      <c r="N24" s="2">
        <f>'UEA30 (colored)'!N24</f>
        <v>95.925925925925924</v>
      </c>
      <c r="O24" s="2">
        <f>'UEA30 (colored)'!O24</f>
        <v>96.296296296296291</v>
      </c>
      <c r="P24" s="2">
        <f>'UEA30 (colored)'!P24</f>
        <v>97.407407407407405</v>
      </c>
      <c r="Q24" s="2">
        <f>'UEA30 (colored)'!Q24</f>
        <v>96.666666666666671</v>
      </c>
      <c r="R24" s="2">
        <f>'UEA30 (colored)'!R24</f>
        <v>96.296296296296291</v>
      </c>
      <c r="S24" s="2">
        <f>'UEA30 (colored)'!S24</f>
        <v>94.814814814814824</v>
      </c>
      <c r="T24" s="2">
        <f>'UEA30 (colored)'!T24</f>
        <v>87.777777777777771</v>
      </c>
      <c r="U24" s="2">
        <f>'UEA30 (colored)'!U24</f>
        <v>97.037037037037038</v>
      </c>
      <c r="V24" s="2">
        <f>'UEA30 (colored)'!V24</f>
        <v>93.703703703703695</v>
      </c>
    </row>
    <row r="25" spans="1:22">
      <c r="A25" s="9" t="s">
        <v>11</v>
      </c>
      <c r="B25" s="2">
        <f>'UEA30 (colored)'!B25</f>
        <v>53</v>
      </c>
      <c r="C25" s="2">
        <f>'UEA30 (colored)'!C25</f>
        <v>56.999999999999993</v>
      </c>
      <c r="D25" s="2">
        <f>'UEA30 (colored)'!D25</f>
        <v>61</v>
      </c>
      <c r="E25" s="2">
        <f>'UEA30 (colored)'!E25</f>
        <v>55.000000000000007</v>
      </c>
      <c r="F25" s="2">
        <f>'UEA30 (colored)'!F25</f>
        <v>60</v>
      </c>
      <c r="G25" s="2">
        <f>'UEA30 (colored)'!G25</f>
        <v>62</v>
      </c>
      <c r="H25" s="2">
        <f>'UEA30 (colored)'!H25</f>
        <v>64</v>
      </c>
      <c r="I25" s="2">
        <f>'UEA30 (colored)'!I25</f>
        <v>63</v>
      </c>
      <c r="J25" s="2">
        <f>'UEA30 (colored)'!J25</f>
        <v>66</v>
      </c>
      <c r="K25" s="2">
        <f>'UEA30 (colored)'!K25</f>
        <v>67</v>
      </c>
      <c r="L25" s="2">
        <f>'UEA30 (colored)'!L25</f>
        <v>68</v>
      </c>
      <c r="M25" s="2">
        <f>'UEA30 (colored)'!M25</f>
        <v>67</v>
      </c>
      <c r="N25" s="4">
        <f>'UEA30 (colored)'!N25</f>
        <v>72</v>
      </c>
      <c r="O25" s="2">
        <f>'UEA30 (colored)'!O25</f>
        <v>66</v>
      </c>
      <c r="P25" s="2">
        <f>'UEA30 (colored)'!P25</f>
        <v>64</v>
      </c>
      <c r="Q25" s="2">
        <f>'UEA30 (colored)'!Q25</f>
        <v>63</v>
      </c>
      <c r="R25" s="2">
        <f>'UEA30 (colored)'!R25</f>
        <v>66</v>
      </c>
      <c r="S25" s="2">
        <f>'UEA30 (colored)'!S25</f>
        <v>64</v>
      </c>
      <c r="T25" s="2">
        <f>'UEA30 (colored)'!T25</f>
        <v>67</v>
      </c>
      <c r="U25" s="2">
        <f>'UEA30 (colored)'!U25</f>
        <v>66</v>
      </c>
      <c r="V25" s="3">
        <f>'UEA30 (colored)'!V25</f>
        <v>71</v>
      </c>
    </row>
    <row r="26" spans="1:22">
      <c r="A26" s="9" t="s">
        <v>12</v>
      </c>
      <c r="B26" s="2">
        <f>'UEA30 (colored)'!B26</f>
        <v>18.918918918918919</v>
      </c>
      <c r="C26" s="2">
        <f>'UEA30 (colored)'!C26</f>
        <v>51.351351351351347</v>
      </c>
      <c r="D26" s="2">
        <f>'UEA30 (colored)'!D26</f>
        <v>48.648648648648653</v>
      </c>
      <c r="E26" s="2">
        <f>'UEA30 (colored)'!E26</f>
        <v>51.351351351351347</v>
      </c>
      <c r="F26" s="2">
        <f>'UEA30 (colored)'!F26</f>
        <v>36.486486486486484</v>
      </c>
      <c r="G26" s="2">
        <f>'UEA30 (colored)'!G26</f>
        <v>66.21621621621621</v>
      </c>
      <c r="H26" s="2">
        <f>'UEA30 (colored)'!H26</f>
        <v>66.21621621621621</v>
      </c>
      <c r="I26" s="2">
        <f>'UEA30 (colored)'!I26</f>
        <v>70.270270270270274</v>
      </c>
      <c r="J26" s="4">
        <f>'UEA30 (colored)'!J26</f>
        <v>72.972972972972968</v>
      </c>
      <c r="K26" s="2">
        <f>'UEA30 (colored)'!K26</f>
        <v>66.21621621621621</v>
      </c>
      <c r="L26" s="2">
        <f>'UEA30 (colored)'!L26</f>
        <v>48.648648648648653</v>
      </c>
      <c r="M26" s="4">
        <f>'UEA30 (colored)'!M26</f>
        <v>72.972972972972968</v>
      </c>
      <c r="N26" s="3">
        <f>'UEA30 (colored)'!N26</f>
        <v>71.621621621621628</v>
      </c>
      <c r="O26" s="2">
        <f>'UEA30 (colored)'!O26</f>
        <v>63.513513513513509</v>
      </c>
      <c r="P26" s="2">
        <f>'UEA30 (colored)'!P26</f>
        <v>66.21621621621621</v>
      </c>
      <c r="Q26" s="2">
        <f>'UEA30 (colored)'!Q26</f>
        <v>63.513513513513509</v>
      </c>
      <c r="R26" s="2">
        <f>'UEA30 (colored)'!R26</f>
        <v>70.270270270270274</v>
      </c>
      <c r="S26" s="2">
        <f>'UEA30 (colored)'!S26</f>
        <v>58.108108108108105</v>
      </c>
      <c r="T26" s="2">
        <f>'UEA30 (colored)'!T26</f>
        <v>45.945945945945951</v>
      </c>
      <c r="U26" s="2">
        <f>'UEA30 (colored)'!U26</f>
        <v>60.810810810810814</v>
      </c>
      <c r="V26" s="2">
        <f>'UEA30 (colored)'!V26</f>
        <v>70.270270270270274</v>
      </c>
    </row>
    <row r="27" spans="1:22">
      <c r="A27" s="9" t="s">
        <v>51</v>
      </c>
      <c r="B27" s="2">
        <f>'UEA30 (colored)'!B27</f>
        <v>48.692</v>
      </c>
      <c r="C27" s="2">
        <f>'UEA30 (colored)'!C27</f>
        <v>38.524000000000001</v>
      </c>
      <c r="D27" s="2">
        <f>'UEA30 (colored)'!D27</f>
        <v>66.796000000000006</v>
      </c>
      <c r="E27" s="2">
        <f>'UEA30 (colored)'!E27</f>
        <v>67.052000000000007</v>
      </c>
      <c r="F27" s="2">
        <f>'UEA30 (colored)'!F27</f>
        <v>65.744</v>
      </c>
      <c r="G27" s="2">
        <f>'UEA30 (colored)'!G27</f>
        <v>18.995999999999999</v>
      </c>
      <c r="H27" s="2">
        <f>'UEA30 (colored)'!H27</f>
        <v>71.676000000000002</v>
      </c>
      <c r="I27" s="2">
        <f>'UEA30 (colored)'!I27</f>
        <v>72.424000000000007</v>
      </c>
      <c r="J27" s="2">
        <f>'UEA30 (colored)'!J27</f>
        <v>64.024000000000001</v>
      </c>
      <c r="K27" s="4">
        <f>'UEA30 (colored)'!K27</f>
        <v>75.587999999999994</v>
      </c>
      <c r="L27" s="2">
        <f>'UEA30 (colored)'!L27</f>
        <v>10.012</v>
      </c>
      <c r="M27" s="2">
        <f>'UEA30 (colored)'!M27</f>
        <v>64.192000000000007</v>
      </c>
      <c r="N27" s="2">
        <f>'UEA30 (colored)'!N27</f>
        <v>65.244</v>
      </c>
      <c r="O27" s="2">
        <f>'UEA30 (colored)'!O27</f>
        <v>64.868000000000009</v>
      </c>
      <c r="P27" s="3">
        <f>'UEA30 (colored)'!P27</f>
        <v>73.712000000000003</v>
      </c>
      <c r="Q27" s="2">
        <f>'UEA30 (colored)'!Q27</f>
        <v>60.936</v>
      </c>
      <c r="R27" s="2">
        <f>'UEA30 (colored)'!R27</f>
        <v>61.395999999999994</v>
      </c>
      <c r="S27" s="2">
        <f>'UEA30 (colored)'!S27</f>
        <v>73.436000000000007</v>
      </c>
      <c r="T27" s="2">
        <f>'UEA30 (colored)'!T27</f>
        <v>67.179999999999993</v>
      </c>
      <c r="U27" s="2">
        <f>'UEA30 (colored)'!U27</f>
        <v>68.244</v>
      </c>
      <c r="V27" s="2">
        <f>'UEA30 (colored)'!V27</f>
        <v>66.304000000000002</v>
      </c>
    </row>
    <row r="28" spans="1:22">
      <c r="A28" s="9" t="s">
        <v>13</v>
      </c>
      <c r="B28" s="2">
        <f>'UEA30 (colored)'!B28</f>
        <v>87.222222222222229</v>
      </c>
      <c r="C28" s="2">
        <f>'UEA30 (colored)'!C28</f>
        <v>90.555555555555557</v>
      </c>
      <c r="D28" s="2">
        <f>'UEA30 (colored)'!D28</f>
        <v>94.444444444444443</v>
      </c>
      <c r="E28" s="2">
        <f>'UEA30 (colored)'!E28</f>
        <v>93.333333333333329</v>
      </c>
      <c r="F28" s="2">
        <f>'UEA30 (colored)'!F28</f>
        <v>93.333333333333329</v>
      </c>
      <c r="G28" s="2">
        <f>'UEA30 (colored)'!G28</f>
        <v>70.555555555555557</v>
      </c>
      <c r="H28" s="2">
        <f>'UEA30 (colored)'!H28</f>
        <v>89.444444444444443</v>
      </c>
      <c r="I28" s="2">
        <f>'UEA30 (colored)'!I28</f>
        <v>34.444444444444443</v>
      </c>
      <c r="J28" s="2">
        <f>'UEA30 (colored)'!J28</f>
        <v>88.333333333333329</v>
      </c>
      <c r="K28" s="2">
        <f>'UEA30 (colored)'!K28</f>
        <v>90</v>
      </c>
      <c r="L28" s="3">
        <f>'UEA30 (colored)'!L28</f>
        <v>95.555555555555557</v>
      </c>
      <c r="M28" s="2">
        <f>'UEA30 (colored)'!M28</f>
        <v>88.333333333333329</v>
      </c>
      <c r="N28" s="2">
        <f>'UEA30 (colored)'!N28</f>
        <v>93.333333333333329</v>
      </c>
      <c r="O28" s="2">
        <f>'UEA30 (colored)'!O28</f>
        <v>90</v>
      </c>
      <c r="P28" s="2">
        <f>'UEA30 (colored)'!P28</f>
        <v>90.555555555555557</v>
      </c>
      <c r="Q28" s="2">
        <f>'UEA30 (colored)'!Q28</f>
        <v>81.666666666666671</v>
      </c>
      <c r="R28" s="2">
        <f>'UEA30 (colored)'!R28</f>
        <v>87.777777777777771</v>
      </c>
      <c r="S28" s="2">
        <f>'UEA30 (colored)'!S28</f>
        <v>91.666666666666657</v>
      </c>
      <c r="T28" s="4">
        <f>'UEA30 (colored)'!T28</f>
        <v>97.222222222222214</v>
      </c>
      <c r="U28" s="2">
        <f>'UEA30 (colored)'!U28</f>
        <v>91.666666666666657</v>
      </c>
      <c r="V28" s="2">
        <f>'UEA30 (colored)'!V28</f>
        <v>91.666666666666657</v>
      </c>
    </row>
    <row r="29" spans="1:22">
      <c r="A29" s="9" t="s">
        <v>14</v>
      </c>
      <c r="B29" s="2">
        <f>'UEA30 (colored)'!B29</f>
        <v>55.109489051094897</v>
      </c>
      <c r="C29" s="2">
        <f>'UEA30 (colored)'!C29</f>
        <v>64.030819140308196</v>
      </c>
      <c r="D29" s="3">
        <f>'UEA30 (colored)'!D29</f>
        <v>66.38280616382805</v>
      </c>
      <c r="E29" s="4">
        <f>'UEA30 (colored)'!E29</f>
        <v>66.504460665044604</v>
      </c>
      <c r="F29" s="2">
        <f>'UEA30 (colored)'!F29</f>
        <v>64.274128142741276</v>
      </c>
      <c r="G29" s="2">
        <f>'UEA30 (colored)'!G29</f>
        <v>34.022708840227089</v>
      </c>
      <c r="H29" s="2">
        <f>'UEA30 (colored)'!H29</f>
        <v>41.524736415247368</v>
      </c>
      <c r="I29" s="2">
        <f>'UEA30 (colored)'!I29</f>
        <v>34.18491484184915</v>
      </c>
      <c r="J29" s="2">
        <f>'UEA30 (colored)'!J29</f>
        <v>44.120032441200323</v>
      </c>
      <c r="K29" s="2">
        <f>'UEA30 (colored)'!K29</f>
        <v>43.592862935928629</v>
      </c>
      <c r="L29" s="2">
        <f>'UEA30 (colored)'!L29</f>
        <v>51.013787510137874</v>
      </c>
      <c r="M29" s="2">
        <f>'UEA30 (colored)'!M29</f>
        <v>44.444444444444443</v>
      </c>
      <c r="N29" s="2">
        <f>'UEA30 (colored)'!N29</f>
        <v>40.997566909975667</v>
      </c>
      <c r="O29" s="2">
        <f>'UEA30 (colored)'!O29</f>
        <v>41.240875912408761</v>
      </c>
      <c r="P29" s="2">
        <f>'UEA30 (colored)'!P29</f>
        <v>41.768045417680455</v>
      </c>
      <c r="Q29" s="2">
        <f>'UEA30 (colored)'!Q29</f>
        <v>56.731549067315491</v>
      </c>
      <c r="R29" s="2">
        <f>'UEA30 (colored)'!R29</f>
        <v>38.077858880778585</v>
      </c>
      <c r="S29" s="2">
        <f>'UEA30 (colored)'!S29</f>
        <v>40.673154906731554</v>
      </c>
      <c r="T29" s="2">
        <f>'UEA30 (colored)'!T29</f>
        <v>59.570154095701547</v>
      </c>
      <c r="U29" s="2">
        <f>'UEA30 (colored)'!U29</f>
        <v>60.056772100567727</v>
      </c>
      <c r="V29" s="2">
        <f>'UEA30 (colored)'!V29</f>
        <v>45.579886455798864</v>
      </c>
    </row>
    <row r="30" spans="1:22">
      <c r="A30" s="9" t="s">
        <v>15</v>
      </c>
      <c r="B30" s="2">
        <f>'UEA30 (colored)'!B30</f>
        <v>50</v>
      </c>
      <c r="C30" s="2">
        <f>'UEA30 (colored)'!C30</f>
        <v>54</v>
      </c>
      <c r="D30" s="2">
        <f>'UEA30 (colored)'!D30</f>
        <v>50</v>
      </c>
      <c r="E30" s="2">
        <f>'UEA30 (colored)'!E30</f>
        <v>54</v>
      </c>
      <c r="F30" s="2">
        <f>'UEA30 (colored)'!F30</f>
        <v>51</v>
      </c>
      <c r="G30" s="2">
        <f>'UEA30 (colored)'!G30</f>
        <v>64</v>
      </c>
      <c r="H30" s="2">
        <f>'UEA30 (colored)'!H30</f>
        <v>68</v>
      </c>
      <c r="I30" s="2">
        <f>'UEA30 (colored)'!I30</f>
        <v>66</v>
      </c>
      <c r="J30" s="2">
        <f>'UEA30 (colored)'!J30</f>
        <v>68</v>
      </c>
      <c r="K30" s="2">
        <f>'UEA30 (colored)'!K30</f>
        <v>67</v>
      </c>
      <c r="L30" s="4">
        <f>'UEA30 (colored)'!L30</f>
        <v>71</v>
      </c>
      <c r="M30" s="2">
        <f>'UEA30 (colored)'!M30</f>
        <v>67</v>
      </c>
      <c r="N30" s="2">
        <f>'UEA30 (colored)'!N30</f>
        <v>65</v>
      </c>
      <c r="O30" s="2">
        <f>'UEA30 (colored)'!O30</f>
        <v>67</v>
      </c>
      <c r="P30" s="2">
        <f>'UEA30 (colored)'!P30</f>
        <v>68</v>
      </c>
      <c r="Q30" s="3">
        <f>'UEA30 (colored)'!Q30</f>
        <v>69</v>
      </c>
      <c r="R30" s="2">
        <f>'UEA30 (colored)'!R30</f>
        <v>67</v>
      </c>
      <c r="S30" s="2">
        <f>'UEA30 (colored)'!S30</f>
        <v>67</v>
      </c>
      <c r="T30" s="2">
        <f>'UEA30 (colored)'!T30</f>
        <v>67</v>
      </c>
      <c r="U30" s="2">
        <f>'UEA30 (colored)'!U30</f>
        <v>67</v>
      </c>
      <c r="V30" s="3">
        <f>'UEA30 (colored)'!V30</f>
        <v>69</v>
      </c>
    </row>
    <row r="31" spans="1:22">
      <c r="A31" s="9" t="s">
        <v>52</v>
      </c>
      <c r="B31" s="2">
        <f>'UEA30 (colored)'!B31</f>
        <v>88.333333333333329</v>
      </c>
      <c r="C31" s="2">
        <f>'UEA30 (colored)'!C31</f>
        <v>89.444444444444443</v>
      </c>
      <c r="D31" s="2">
        <f>'UEA30 (colored)'!D31</f>
        <v>91.111111111111114</v>
      </c>
      <c r="E31" s="2">
        <f>'UEA30 (colored)'!E31</f>
        <v>90</v>
      </c>
      <c r="F31" s="2">
        <f>'UEA30 (colored)'!F31</f>
        <v>93.333333333333329</v>
      </c>
      <c r="G31" s="2">
        <f>'UEA30 (colored)'!G31</f>
        <v>96.111111111111114</v>
      </c>
      <c r="H31" s="2">
        <f>'UEA30 (colored)'!H31</f>
        <v>97.222222222222214</v>
      </c>
      <c r="I31" s="2">
        <f>'UEA30 (colored)'!I31</f>
        <v>95</v>
      </c>
      <c r="J31" s="2">
        <f>'UEA30 (colored)'!J31</f>
        <v>98.333333333333329</v>
      </c>
      <c r="K31" s="2">
        <f>'UEA30 (colored)'!K31</f>
        <v>95.555555555555557</v>
      </c>
      <c r="L31" s="4">
        <f>'UEA30 (colored)'!L31</f>
        <v>99.444444444444443</v>
      </c>
      <c r="M31" s="2">
        <f>'UEA30 (colored)'!M31</f>
        <v>96.111111111111114</v>
      </c>
      <c r="N31" s="2">
        <f>'UEA30 (colored)'!N31</f>
        <v>96.111111111111114</v>
      </c>
      <c r="O31" s="2">
        <f>'UEA30 (colored)'!O31</f>
        <v>93.333333333333329</v>
      </c>
      <c r="P31" s="2">
        <f>'UEA30 (colored)'!P31</f>
        <v>93.888888888888886</v>
      </c>
      <c r="Q31" s="2">
        <f>'UEA30 (colored)'!Q31</f>
        <v>80.555555555555557</v>
      </c>
      <c r="R31" s="2">
        <f>'UEA30 (colored)'!R31</f>
        <v>96.111111111111114</v>
      </c>
      <c r="S31" s="2">
        <f>'UEA30 (colored)'!S31</f>
        <v>88.888888888888886</v>
      </c>
      <c r="T31" s="3">
        <f>'UEA30 (colored)'!T31</f>
        <v>98.888888888888886</v>
      </c>
      <c r="U31" s="2">
        <f>'UEA30 (colored)'!U31</f>
        <v>92.222222222222229</v>
      </c>
      <c r="V31" s="3">
        <f>'UEA30 (colored)'!V31</f>
        <v>98.888888888888886</v>
      </c>
    </row>
    <row r="32" spans="1:22">
      <c r="A32" s="9" t="s">
        <v>16</v>
      </c>
      <c r="B32" s="2">
        <f>'UEA30 (colored)'!B32</f>
        <v>97.712978845054323</v>
      </c>
      <c r="C32" s="2">
        <f>'UEA30 (colored)'!C32</f>
        <v>98.227558604917093</v>
      </c>
      <c r="D32" s="2">
        <f>'UEA30 (colored)'!D32</f>
        <v>97.65580331618068</v>
      </c>
      <c r="E32" s="2">
        <f>'UEA30 (colored)'!E32</f>
        <v>97.85591766723843</v>
      </c>
      <c r="F32" s="2">
        <f>'UEA30 (colored)'!F32</f>
        <v>97.284162378502003</v>
      </c>
      <c r="G32" s="2">
        <f>'UEA30 (colored)'!G32</f>
        <v>92.481417953116065</v>
      </c>
      <c r="H32" s="2">
        <f>'UEA30 (colored)'!H32</f>
        <v>96.99828473413379</v>
      </c>
      <c r="I32" s="2">
        <f>'UEA30 (colored)'!I32</f>
        <v>46.941109205260148</v>
      </c>
      <c r="J32" s="2">
        <f>'UEA30 (colored)'!J32</f>
        <v>98.913664951400804</v>
      </c>
      <c r="K32" s="2">
        <f>'UEA30 (colored)'!K32</f>
        <v>98.513436249285306</v>
      </c>
      <c r="L32" s="2">
        <f>'UEA30 (colored)'!L32</f>
        <v>99.028016009148089</v>
      </c>
      <c r="M32" s="2">
        <f>'UEA30 (colored)'!M32</f>
        <v>98.59919954259577</v>
      </c>
      <c r="N32" s="2">
        <f>'UEA30 (colored)'!N32</f>
        <v>98.59919954259577</v>
      </c>
      <c r="O32" s="2">
        <f>'UEA30 (colored)'!O32</f>
        <v>98.542024013722127</v>
      </c>
      <c r="P32" s="2">
        <f>'UEA30 (colored)'!P32</f>
        <v>98.513436249285306</v>
      </c>
      <c r="Q32" s="2">
        <f>'UEA30 (colored)'!Q32</f>
        <v>98.484848484848484</v>
      </c>
      <c r="R32" s="2">
        <f>'UEA30 (colored)'!R32</f>
        <v>98.513436249285306</v>
      </c>
      <c r="S32" s="2">
        <f>'UEA30 (colored)'!S32</f>
        <v>98.427672955974842</v>
      </c>
      <c r="T32" s="4">
        <f>'UEA30 (colored)'!T32</f>
        <v>99.342481417953124</v>
      </c>
      <c r="U32" s="2">
        <f>'UEA30 (colored)'!U32</f>
        <v>98.513436249285306</v>
      </c>
      <c r="V32" s="3">
        <f>'UEA30 (colored)'!V32</f>
        <v>99.256718124642646</v>
      </c>
    </row>
    <row r="33" spans="1:22">
      <c r="A33" s="9" t="s">
        <v>17</v>
      </c>
      <c r="B33" s="2">
        <f>'UEA30 (colored)'!B33</f>
        <v>15.120787354607815</v>
      </c>
      <c r="C33" s="2">
        <f>'UEA30 (colored)'!C33</f>
        <v>27.82582761705935</v>
      </c>
      <c r="D33" s="2">
        <f>'UEA30 (colored)'!D33</f>
        <v>33.015210259469129</v>
      </c>
      <c r="E33" s="3">
        <f>'UEA30 (colored)'!E33</f>
        <v>33.16433045034298</v>
      </c>
      <c r="F33" s="4">
        <f>'UEA30 (colored)'!F33</f>
        <v>33.641515061139273</v>
      </c>
      <c r="G33" s="2">
        <f>'UEA30 (colored)'!G33</f>
        <v>6.6507605129734566</v>
      </c>
      <c r="H33" s="2">
        <f>'UEA30 (colored)'!H33</f>
        <v>16.224276767074262</v>
      </c>
      <c r="I33" s="2">
        <f>'UEA30 (colored)'!I33</f>
        <v>5.4279749478079333</v>
      </c>
      <c r="J33" s="2">
        <f>'UEA30 (colored)'!J33</f>
        <v>14.524306591112438</v>
      </c>
      <c r="K33" s="2">
        <f>'UEA30 (colored)'!K33</f>
        <v>13.748881598568447</v>
      </c>
      <c r="L33" s="2">
        <f>'UEA30 (colored)'!L33</f>
        <v>4.9209662988368628</v>
      </c>
      <c r="M33" s="2">
        <f>'UEA30 (colored)'!M33</f>
        <v>15.508499850879808</v>
      </c>
      <c r="N33" s="2">
        <f>'UEA30 (colored)'!N33</f>
        <v>11.691022964509393</v>
      </c>
      <c r="O33" s="2">
        <f>'UEA30 (colored)'!O33</f>
        <v>14.315538323889054</v>
      </c>
      <c r="P33" s="2">
        <f>'UEA30 (colored)'!P33</f>
        <v>14.255890247539515</v>
      </c>
      <c r="Q33" s="2">
        <f>'UEA30 (colored)'!Q33</f>
        <v>15.090963316433045</v>
      </c>
      <c r="R33" s="2">
        <f>'UEA30 (colored)'!R33</f>
        <v>13.122576796898301</v>
      </c>
      <c r="S33" s="2">
        <f>'UEA30 (colored)'!S33</f>
        <v>11.541902773635551</v>
      </c>
      <c r="T33" s="2">
        <f>'UEA30 (colored)'!T33</f>
        <v>33.074858335818668</v>
      </c>
      <c r="U33" s="2">
        <f>'UEA30 (colored)'!U33</f>
        <v>23.799582463465555</v>
      </c>
      <c r="V33" s="2">
        <f>'UEA30 (colored)'!V33</f>
        <v>30.331046823739932</v>
      </c>
    </row>
    <row r="34" spans="1:22">
      <c r="A34" s="9" t="s">
        <v>18</v>
      </c>
      <c r="B34" s="2">
        <f>'UEA30 (colored)'!B34</f>
        <v>80.26315789473685</v>
      </c>
      <c r="C34" s="2">
        <f>'UEA30 (colored)'!C34</f>
        <v>90.789473684210535</v>
      </c>
      <c r="D34" s="2">
        <f>'UEA30 (colored)'!D34</f>
        <v>90.131578947368425</v>
      </c>
      <c r="E34" s="2">
        <f>'UEA30 (colored)'!E34</f>
        <v>91.44736842105263</v>
      </c>
      <c r="F34" s="2">
        <f>'UEA30 (colored)'!F34</f>
        <v>90.131578947368425</v>
      </c>
      <c r="G34" s="2">
        <f>'UEA30 (colored)'!G34</f>
        <v>78.94736842105263</v>
      </c>
      <c r="H34" s="2">
        <f>'UEA30 (colored)'!H34</f>
        <v>81.578947368421055</v>
      </c>
      <c r="I34" s="2">
        <f>'UEA30 (colored)'!I34</f>
        <v>86.842105263157904</v>
      </c>
      <c r="J34" s="2">
        <f>'UEA30 (colored)'!J34</f>
        <v>89.473684210526315</v>
      </c>
      <c r="K34" s="2">
        <f>'UEA30 (colored)'!K34</f>
        <v>84.210526315789465</v>
      </c>
      <c r="L34" s="4">
        <f>'UEA30 (colored)'!L34</f>
        <v>94.078947368421055</v>
      </c>
      <c r="M34" s="2">
        <f>'UEA30 (colored)'!M34</f>
        <v>91.44736842105263</v>
      </c>
      <c r="N34" s="2">
        <f>'UEA30 (colored)'!N34</f>
        <v>84.868421052631575</v>
      </c>
      <c r="O34" s="2">
        <f>'UEA30 (colored)'!O34</f>
        <v>85.526315789473685</v>
      </c>
      <c r="P34" s="2">
        <f>'UEA30 (colored)'!P34</f>
        <v>87.5</v>
      </c>
      <c r="Q34" s="2">
        <f>'UEA30 (colored)'!Q34</f>
        <v>85.526315789473685</v>
      </c>
      <c r="R34" s="2">
        <f>'UEA30 (colored)'!R34</f>
        <v>86.842105263157904</v>
      </c>
      <c r="S34" s="2">
        <f>'UEA30 (colored)'!S34</f>
        <v>81.578947368421055</v>
      </c>
      <c r="T34" s="2">
        <f>'UEA30 (colored)'!T34</f>
        <v>91.44736842105263</v>
      </c>
      <c r="U34" s="2">
        <f>'UEA30 (colored)'!U34</f>
        <v>90.789473684210535</v>
      </c>
      <c r="V34" s="3">
        <f>'UEA30 (colored)'!V34</f>
        <v>92.76315789473685</v>
      </c>
    </row>
    <row r="35" spans="1:22">
      <c r="A35" s="9" t="s">
        <v>19</v>
      </c>
      <c r="B35" s="2">
        <f>'UEA30 (colored)'!B35</f>
        <v>20</v>
      </c>
      <c r="C35" s="2">
        <f>'UEA30 (colored)'!C35</f>
        <v>46.666666666666664</v>
      </c>
      <c r="D35" s="2">
        <f>'UEA30 (colored)'!D35</f>
        <v>40</v>
      </c>
      <c r="E35" s="2">
        <f>'UEA30 (colored)'!E35</f>
        <v>40</v>
      </c>
      <c r="F35" s="2">
        <f>'UEA30 (colored)'!F35</f>
        <v>66.666666666666657</v>
      </c>
      <c r="G35" s="2">
        <f>'UEA30 (colored)'!G35</f>
        <v>53.333333333333336</v>
      </c>
      <c r="H35" s="2">
        <f>'UEA30 (colored)'!H35</f>
        <v>73.333333333333329</v>
      </c>
      <c r="I35" s="2">
        <f>'UEA30 (colored)'!I35</f>
        <v>66.666666666666657</v>
      </c>
      <c r="J35" s="2">
        <f>'UEA30 (colored)'!J35</f>
        <v>66.666666666666657</v>
      </c>
      <c r="K35" s="3">
        <f>'UEA30 (colored)'!K35</f>
        <v>80</v>
      </c>
      <c r="L35" s="2">
        <f>'UEA30 (colored)'!L35</f>
        <v>73.333333333333329</v>
      </c>
      <c r="M35" s="2">
        <f>'UEA30 (colored)'!M35</f>
        <v>73.333333333333329</v>
      </c>
      <c r="N35" s="2">
        <f>'UEA30 (colored)'!N35</f>
        <v>66.666666666666657</v>
      </c>
      <c r="O35" s="2">
        <f>'UEA30 (colored)'!O35</f>
        <v>66.666666666666657</v>
      </c>
      <c r="P35" s="3">
        <f>'UEA30 (colored)'!P35</f>
        <v>80</v>
      </c>
      <c r="Q35" s="4">
        <f>'UEA30 (colored)'!Q35</f>
        <v>86.666666666666671</v>
      </c>
      <c r="R35" s="2">
        <f>'UEA30 (colored)'!R35</f>
        <v>73.333333333333329</v>
      </c>
      <c r="S35" s="2">
        <f>'UEA30 (colored)'!S35</f>
        <v>73.333333333333329</v>
      </c>
      <c r="T35" s="2">
        <f>'UEA30 (colored)'!T35</f>
        <v>60</v>
      </c>
      <c r="U35" s="2">
        <f>'UEA30 (colored)'!U35</f>
        <v>73.333333333333329</v>
      </c>
      <c r="V35" s="2">
        <f>'UEA30 (colored)'!V35</f>
        <v>73.333333333333329</v>
      </c>
    </row>
    <row r="36" spans="1:22">
      <c r="A36" s="10" t="s">
        <v>53</v>
      </c>
      <c r="B36" s="2">
        <f>'UEA30 (colored)'!B36</f>
        <v>70.35446676397973</v>
      </c>
      <c r="C36" s="2">
        <f>'UEA30 (colored)'!C36</f>
        <v>74.368404841950934</v>
      </c>
      <c r="D36" s="2">
        <f>'UEA30 (colored)'!D36</f>
        <v>78.155506431879772</v>
      </c>
      <c r="E36" s="3">
        <f>'UEA30 (colored)'!E36</f>
        <v>78.34857827953644</v>
      </c>
      <c r="F36" s="2">
        <f>'UEA30 (colored)'!F36</f>
        <v>77.599801668764002</v>
      </c>
      <c r="G36" s="2">
        <f>'UEA30 (colored)'!G36</f>
        <v>70.998976440724988</v>
      </c>
      <c r="H36" s="2">
        <f>'UEA30 (colored)'!H36</f>
        <v>72.759672049866111</v>
      </c>
      <c r="I36" s="2">
        <f>'UEA30 (colored)'!I36</f>
        <v>69.577909959641815</v>
      </c>
      <c r="J36" s="2">
        <f>'UEA30 (colored)'!J36</f>
        <v>75.168232523943757</v>
      </c>
      <c r="K36" s="2">
        <f>'UEA30 (colored)'!K36</f>
        <v>73.429003098053187</v>
      </c>
      <c r="L36" s="2">
        <f>'UEA30 (colored)'!L36</f>
        <v>77.442651833812363</v>
      </c>
      <c r="M36" s="2">
        <f>'UEA30 (colored)'!M36</f>
        <v>74.94832816664109</v>
      </c>
      <c r="N36" s="2">
        <f>'UEA30 (colored)'!N36</f>
        <v>71.544949205958517</v>
      </c>
      <c r="O36" s="2">
        <f>'UEA30 (colored)'!O36</f>
        <v>74.267179959281179</v>
      </c>
      <c r="P36" s="2">
        <f>'UEA30 (colored)'!P36</f>
        <v>75.315781107291002</v>
      </c>
      <c r="Q36" s="2">
        <f>'UEA30 (colored)'!Q36</f>
        <v>72.894579547666339</v>
      </c>
      <c r="R36" s="2">
        <f>'UEA30 (colored)'!R36</f>
        <v>74.300689343778302</v>
      </c>
      <c r="S36" s="2">
        <f>'UEA30 (colored)'!S36</f>
        <v>74.119963752592383</v>
      </c>
      <c r="T36" s="2">
        <f>'UEA30 (colored)'!T36</f>
        <v>75.481716311047435</v>
      </c>
      <c r="U36" s="2">
        <f>'UEA30 (colored)'!U36</f>
        <v>75.933375690075607</v>
      </c>
      <c r="V36" s="4">
        <f>'UEA30 (colored)'!V36</f>
        <v>78.778660895649992</v>
      </c>
    </row>
    <row r="37" spans="1:22">
      <c r="A37" s="10" t="s">
        <v>54</v>
      </c>
      <c r="B37" s="2">
        <f>'UEA30 (colored)'!B37</f>
        <v>68.019691068655888</v>
      </c>
      <c r="C37" s="2">
        <f>'UEA30 (colored)'!C37</f>
        <v>73.305689043226081</v>
      </c>
      <c r="D37" s="2">
        <f>'UEA30 (colored)'!D37</f>
        <v>76.865881142203619</v>
      </c>
      <c r="E37" s="2">
        <f>'UEA30 (colored)'!E37</f>
        <v>77.124035380642141</v>
      </c>
      <c r="F37" s="2">
        <f>'UEA30 (colored)'!F37</f>
        <v>76.320337763441785</v>
      </c>
      <c r="G37" s="2">
        <f>'UEA30 (colored)'!G37</f>
        <v>68.246933831184322</v>
      </c>
      <c r="H37" s="2">
        <f>'UEA30 (colored)'!H37</f>
        <v>75.307906765970017</v>
      </c>
      <c r="I37" s="2">
        <f>'UEA30 (colored)'!I37</f>
        <v>69.001332234525236</v>
      </c>
      <c r="J37" s="2">
        <f>'UEA30 (colored)'!J37</f>
        <v>76.921251305903354</v>
      </c>
      <c r="K37" s="2">
        <f>'UEA30 (colored)'!K37</f>
        <v>76.938256988340157</v>
      </c>
      <c r="L37" s="2">
        <f>'UEA30 (colored)'!L37</f>
        <v>76.263284827203975</v>
      </c>
      <c r="M37" s="2">
        <f>'UEA30 (colored)'!M37</f>
        <v>77.278970544169766</v>
      </c>
      <c r="N37" s="2">
        <f>'UEA30 (colored)'!N37</f>
        <v>74.128311000314483</v>
      </c>
      <c r="O37" s="2">
        <f>'UEA30 (colored)'!O37</f>
        <v>75.715536579810944</v>
      </c>
      <c r="P37" s="2">
        <f>'UEA30 (colored)'!P37</f>
        <v>77.427344870706534</v>
      </c>
      <c r="Q37" s="2">
        <f>'UEA30 (colored)'!Q37</f>
        <v>74.729146393937583</v>
      </c>
      <c r="R37" s="2">
        <f>'UEA30 (colored)'!R37</f>
        <v>76.064792007646602</v>
      </c>
      <c r="S37" s="2">
        <f>'UEA30 (colored)'!S37</f>
        <v>74.797352581492476</v>
      </c>
      <c r="T37" s="29">
        <f>'UEA30 (colored)'!T37</f>
        <v>77.699781609386719</v>
      </c>
      <c r="U37" s="3">
        <f>'UEA30 (colored)'!U37</f>
        <v>78.404820230891602</v>
      </c>
      <c r="V37" s="4">
        <f>'UEA30 (colored)'!V37</f>
        <v>79.802264961943052</v>
      </c>
    </row>
    <row r="38" spans="1:22">
      <c r="A38" s="10" t="s">
        <v>20</v>
      </c>
      <c r="B38" s="5">
        <f>'UEA30 (colored)'!B38</f>
        <v>16.033333333333335</v>
      </c>
      <c r="C38" s="5">
        <f>'UEA30 (colored)'!C38</f>
        <v>11.2</v>
      </c>
      <c r="D38" s="5">
        <f>'UEA30 (colored)'!D38</f>
        <v>8.9</v>
      </c>
      <c r="E38" s="5">
        <f>'UEA30 (colored)'!E38</f>
        <v>8.8333333333333339</v>
      </c>
      <c r="F38" s="5">
        <f>'UEA30 (colored)'!F38</f>
        <v>9.4</v>
      </c>
      <c r="G38" s="5">
        <f>'UEA30 (colored)'!G38</f>
        <v>16.8</v>
      </c>
      <c r="H38" s="5">
        <f>'UEA30 (colored)'!H38</f>
        <v>11.833333333333334</v>
      </c>
      <c r="I38" s="5">
        <f>'UEA30 (colored)'!I38</f>
        <v>13.9</v>
      </c>
      <c r="J38" s="5">
        <f>'UEA30 (colored)'!J38</f>
        <v>8.6666666666666661</v>
      </c>
      <c r="K38" s="5">
        <f>'UEA30 (colored)'!K38</f>
        <v>9.1333333333333329</v>
      </c>
      <c r="L38" s="5">
        <f>'UEA30 (colored)'!L38</f>
        <v>7.8</v>
      </c>
      <c r="M38" s="25">
        <f>'UEA30 (colored)'!M38</f>
        <v>7.0333333333333332</v>
      </c>
      <c r="N38" s="5">
        <f>'UEA30 (colored)'!N38</f>
        <v>12.333333333333334</v>
      </c>
      <c r="O38" s="5">
        <f>'UEA30 (colored)'!O38</f>
        <v>10.633333333333333</v>
      </c>
      <c r="P38" s="5">
        <f>'UEA30 (colored)'!P38</f>
        <v>8.5</v>
      </c>
      <c r="Q38" s="5">
        <f>'UEA30 (colored)'!Q38</f>
        <v>12.6</v>
      </c>
      <c r="R38" s="5">
        <f>'UEA30 (colored)'!R38</f>
        <v>9.5</v>
      </c>
      <c r="S38" s="5">
        <f>'UEA30 (colored)'!S38</f>
        <v>11.833333333333334</v>
      </c>
      <c r="T38" s="5">
        <f>'UEA30 (colored)'!T38</f>
        <v>7.8666666666666663</v>
      </c>
      <c r="U38" s="5">
        <f>'UEA30 (colored)'!U38</f>
        <v>7.1</v>
      </c>
      <c r="V38" s="6">
        <f>'UEA30 (colored)'!V38</f>
        <v>5.3666666666666663</v>
      </c>
    </row>
    <row r="39" spans="1:22">
      <c r="A39" s="10" t="s">
        <v>61</v>
      </c>
      <c r="B39" s="7">
        <f>'UEA30 (colored)'!B39</f>
        <v>1</v>
      </c>
      <c r="C39" s="7">
        <f>'UEA30 (colored)'!C39</f>
        <v>3</v>
      </c>
      <c r="D39" s="7">
        <f>'UEA30 (colored)'!D39</f>
        <v>4</v>
      </c>
      <c r="E39" s="13">
        <f>'UEA30 (colored)'!E39</f>
        <v>7</v>
      </c>
      <c r="F39" s="14">
        <f>'UEA30 (colored)'!F39</f>
        <v>8</v>
      </c>
      <c r="G39" s="7">
        <f>'UEA30 (colored)'!G39</f>
        <v>0</v>
      </c>
      <c r="H39" s="7">
        <f>'UEA30 (colored)'!H39</f>
        <v>1</v>
      </c>
      <c r="I39" s="7">
        <f>'UEA30 (colored)'!I39</f>
        <v>1</v>
      </c>
      <c r="J39" s="7">
        <f>'UEA30 (colored)'!J39</f>
        <v>3</v>
      </c>
      <c r="K39" s="7">
        <f>'UEA30 (colored)'!K39</f>
        <v>2</v>
      </c>
      <c r="L39" s="13">
        <f>'UEA30 (colored)'!L39</f>
        <v>7</v>
      </c>
      <c r="M39" s="7">
        <f>'UEA30 (colored)'!M39</f>
        <v>2</v>
      </c>
      <c r="N39" s="7">
        <f>'UEA30 (colored)'!N39</f>
        <v>1</v>
      </c>
      <c r="O39" s="7">
        <f>'UEA30 (colored)'!O39</f>
        <v>2</v>
      </c>
      <c r="P39" s="7">
        <f>'UEA30 (colored)'!P39</f>
        <v>1</v>
      </c>
      <c r="Q39" s="7">
        <f>'UEA30 (colored)'!Q39</f>
        <v>2</v>
      </c>
      <c r="R39" s="7">
        <f>'UEA30 (colored)'!R39</f>
        <v>1</v>
      </c>
      <c r="S39" s="7">
        <f>'UEA30 (colored)'!S39</f>
        <v>0</v>
      </c>
      <c r="T39" s="13">
        <f>'UEA30 (colored)'!T39</f>
        <v>7</v>
      </c>
      <c r="U39" s="7">
        <f>'UEA30 (colored)'!U39</f>
        <v>5</v>
      </c>
      <c r="V39" s="7">
        <f>'UEA30 (colored)'!V39</f>
        <v>5</v>
      </c>
    </row>
    <row r="40" spans="1:22">
      <c r="A40" s="10" t="s">
        <v>62</v>
      </c>
      <c r="B40" s="7">
        <f>'UEA30 (colored)'!B40</f>
        <v>2</v>
      </c>
      <c r="C40" s="7">
        <f>'UEA30 (colored)'!C40</f>
        <v>10</v>
      </c>
      <c r="D40" s="7">
        <f>'UEA30 (colored)'!D40</f>
        <v>13</v>
      </c>
      <c r="E40" s="7">
        <f>'UEA30 (colored)'!E40</f>
        <v>13</v>
      </c>
      <c r="F40" s="7">
        <f>'UEA30 (colored)'!F40</f>
        <v>12</v>
      </c>
      <c r="G40" s="7">
        <f>'UEA30 (colored)'!G40</f>
        <v>0</v>
      </c>
      <c r="H40" s="7">
        <f>'UEA30 (colored)'!H40</f>
        <v>6</v>
      </c>
      <c r="I40" s="7">
        <f>'UEA30 (colored)'!I40</f>
        <v>3</v>
      </c>
      <c r="J40" s="7">
        <f>'UEA30 (colored)'!J40</f>
        <v>9</v>
      </c>
      <c r="K40" s="7">
        <f>'UEA30 (colored)'!K40</f>
        <v>8</v>
      </c>
      <c r="L40" s="13">
        <f>'UEA30 (colored)'!L40</f>
        <v>16</v>
      </c>
      <c r="M40" s="7">
        <f>'UEA30 (colored)'!M40</f>
        <v>12</v>
      </c>
      <c r="N40" s="7">
        <f>'UEA30 (colored)'!N40</f>
        <v>6</v>
      </c>
      <c r="O40" s="7">
        <f>'UEA30 (colored)'!O40</f>
        <v>2</v>
      </c>
      <c r="P40" s="7">
        <f>'UEA30 (colored)'!P40</f>
        <v>12</v>
      </c>
      <c r="Q40" s="7">
        <f>'UEA30 (colored)'!Q40</f>
        <v>4</v>
      </c>
      <c r="R40" s="7">
        <f>'UEA30 (colored)'!R40</f>
        <v>6</v>
      </c>
      <c r="S40" s="7">
        <f>'UEA30 (colored)'!S40</f>
        <v>4</v>
      </c>
      <c r="T40" s="7">
        <f>'UEA30 (colored)'!T40</f>
        <v>14</v>
      </c>
      <c r="U40" s="7">
        <f>'UEA30 (colored)'!U40</f>
        <v>12</v>
      </c>
      <c r="V40" s="14">
        <f>'UEA30 (colored)'!V40</f>
        <v>18</v>
      </c>
    </row>
    <row r="41" spans="1:22">
      <c r="A41" s="10" t="s">
        <v>63</v>
      </c>
      <c r="B41" s="7">
        <f>'UEA30 (colored)'!B41</f>
        <v>5</v>
      </c>
      <c r="C41" s="7">
        <f>'UEA30 (colored)'!C41</f>
        <v>15</v>
      </c>
      <c r="D41" s="7">
        <f>'UEA30 (colored)'!D41</f>
        <v>19</v>
      </c>
      <c r="E41" s="7">
        <f>'UEA30 (colored)'!E41</f>
        <v>17</v>
      </c>
      <c r="F41" s="7">
        <f>'UEA30 (colored)'!F41</f>
        <v>16</v>
      </c>
      <c r="G41" s="7">
        <f>'UEA30 (colored)'!G41</f>
        <v>5</v>
      </c>
      <c r="H41" s="7">
        <f>'UEA30 (colored)'!H41</f>
        <v>11</v>
      </c>
      <c r="I41" s="7">
        <f>'UEA30 (colored)'!I41</f>
        <v>9</v>
      </c>
      <c r="J41" s="7">
        <f>'UEA30 (colored)'!J41</f>
        <v>17</v>
      </c>
      <c r="K41" s="7">
        <f>'UEA30 (colored)'!K41</f>
        <v>16</v>
      </c>
      <c r="L41" s="7">
        <f>'UEA30 (colored)'!L41</f>
        <v>21</v>
      </c>
      <c r="M41" s="28">
        <f>'UEA30 (colored)'!M41</f>
        <v>24</v>
      </c>
      <c r="N41" s="7">
        <f>'UEA30 (colored)'!N41</f>
        <v>10</v>
      </c>
      <c r="O41" s="7">
        <f>'UEA30 (colored)'!O41</f>
        <v>13</v>
      </c>
      <c r="P41" s="7">
        <f>'UEA30 (colored)'!P41</f>
        <v>17</v>
      </c>
      <c r="Q41" s="7">
        <f>'UEA30 (colored)'!Q41</f>
        <v>8</v>
      </c>
      <c r="R41" s="7">
        <f>'UEA30 (colored)'!R41</f>
        <v>18</v>
      </c>
      <c r="S41" s="7">
        <f>'UEA30 (colored)'!S41</f>
        <v>10</v>
      </c>
      <c r="T41" s="7">
        <f>'UEA30 (colored)'!T41</f>
        <v>20</v>
      </c>
      <c r="U41" s="13">
        <f>'UEA30 (colored)'!U41</f>
        <v>25</v>
      </c>
      <c r="V41" s="14">
        <f>'UEA30 (colored)'!V41</f>
        <v>27</v>
      </c>
    </row>
    <row r="42" spans="1:22">
      <c r="A42" s="10" t="s">
        <v>21</v>
      </c>
      <c r="B42" s="7">
        <f>'UEA30 (colored)'!B42</f>
        <v>29</v>
      </c>
      <c r="C42" s="7">
        <f>'UEA30 (colored)'!C42</f>
        <v>24</v>
      </c>
      <c r="D42" s="7">
        <f>'UEA30 (colored)'!D42</f>
        <v>20</v>
      </c>
      <c r="E42" s="7">
        <f>'UEA30 (colored)'!E42</f>
        <v>20</v>
      </c>
      <c r="F42" s="7">
        <f>'UEA30 (colored)'!F42</f>
        <v>21</v>
      </c>
      <c r="G42" s="7">
        <f>'UEA30 (colored)'!G42</f>
        <v>28</v>
      </c>
      <c r="H42" s="7">
        <f>'UEA30 (colored)'!H42</f>
        <v>25</v>
      </c>
      <c r="I42" s="7">
        <f>'UEA30 (colored)'!I42</f>
        <v>28</v>
      </c>
      <c r="J42" s="7">
        <f>'UEA30 (colored)'!J42</f>
        <v>24</v>
      </c>
      <c r="K42" s="7">
        <f>'UEA30 (colored)'!K42</f>
        <v>24</v>
      </c>
      <c r="L42" s="7">
        <f>'UEA30 (colored)'!L42</f>
        <v>18</v>
      </c>
      <c r="M42" s="7">
        <f>'UEA30 (colored)'!M42</f>
        <v>22</v>
      </c>
      <c r="N42" s="7">
        <f>'UEA30 (colored)'!N42</f>
        <v>23</v>
      </c>
      <c r="O42" s="7">
        <f>'UEA30 (colored)'!O42</f>
        <v>27</v>
      </c>
      <c r="P42" s="7">
        <f>'UEA30 (colored)'!P42</f>
        <v>21</v>
      </c>
      <c r="Q42" s="7">
        <f>'UEA30 (colored)'!Q42</f>
        <v>24</v>
      </c>
      <c r="R42" s="7">
        <f>'UEA30 (colored)'!R42</f>
        <v>26</v>
      </c>
      <c r="S42" s="7">
        <f>'UEA30 (colored)'!S42</f>
        <v>25</v>
      </c>
      <c r="T42" s="7">
        <f>'UEA30 (colored)'!T42</f>
        <v>20</v>
      </c>
      <c r="U42" s="7">
        <f>'UEA30 (colored)'!U42</f>
        <v>20</v>
      </c>
      <c r="V42" s="7">
        <f>'UEA30 (colored)'!V42</f>
        <v>0</v>
      </c>
    </row>
    <row r="43" spans="1:22">
      <c r="A43" s="10" t="s">
        <v>22</v>
      </c>
      <c r="B43" s="7">
        <f>'UEA30 (colored)'!B43</f>
        <v>2</v>
      </c>
      <c r="C43" s="7">
        <f>'UEA30 (colored)'!C43</f>
        <v>9</v>
      </c>
      <c r="D43" s="7">
        <f>'UEA30 (colored)'!D43</f>
        <v>14</v>
      </c>
      <c r="E43" s="7">
        <f>'UEA30 (colored)'!E43</f>
        <v>13</v>
      </c>
      <c r="F43" s="7">
        <f>'UEA30 (colored)'!F43</f>
        <v>11</v>
      </c>
      <c r="G43" s="7">
        <f>'UEA30 (colored)'!G43</f>
        <v>3</v>
      </c>
      <c r="H43" s="7">
        <f>'UEA30 (colored)'!H43</f>
        <v>7</v>
      </c>
      <c r="I43" s="7">
        <f>'UEA30 (colored)'!I43</f>
        <v>4</v>
      </c>
      <c r="J43" s="7">
        <f>'UEA30 (colored)'!J43</f>
        <v>8</v>
      </c>
      <c r="K43" s="7">
        <f>'UEA30 (colored)'!K43</f>
        <v>8</v>
      </c>
      <c r="L43" s="7">
        <f>'UEA30 (colored)'!L43</f>
        <v>15</v>
      </c>
      <c r="M43" s="7">
        <f>'UEA30 (colored)'!M43</f>
        <v>10</v>
      </c>
      <c r="N43" s="7">
        <f>'UEA30 (colored)'!N43</f>
        <v>7</v>
      </c>
      <c r="O43" s="7">
        <f>'UEA30 (colored)'!O43</f>
        <v>4</v>
      </c>
      <c r="P43" s="7">
        <f>'UEA30 (colored)'!P43</f>
        <v>10</v>
      </c>
      <c r="Q43" s="7">
        <f>'UEA30 (colored)'!Q43</f>
        <v>7</v>
      </c>
      <c r="R43" s="7">
        <f>'UEA30 (colored)'!R43</f>
        <v>7</v>
      </c>
      <c r="S43" s="7">
        <f>'UEA30 (colored)'!S43</f>
        <v>7</v>
      </c>
      <c r="T43" s="7">
        <f>'UEA30 (colored)'!T43</f>
        <v>14</v>
      </c>
      <c r="U43" s="7">
        <f>'UEA30 (colored)'!U43</f>
        <v>15</v>
      </c>
      <c r="V43" s="7">
        <f>'UEA30 (colored)'!V43</f>
        <v>0</v>
      </c>
    </row>
    <row r="44" spans="1:22">
      <c r="A44" t="s">
        <v>67</v>
      </c>
      <c r="B44" s="15">
        <f>'UEA30 (colored)'!B44</f>
        <v>3.6148028000000001E-6</v>
      </c>
      <c r="C44" s="15">
        <f>'UEA30 (colored)'!C44</f>
        <v>8.2399979840000004E-4</v>
      </c>
      <c r="D44" s="15">
        <f>'UEA30 (colored)'!D44</f>
        <v>5.6214029839700003E-2</v>
      </c>
      <c r="E44" s="15">
        <f>'UEA30 (colored)'!E44</f>
        <v>3.39326687995E-2</v>
      </c>
      <c r="F44" s="15">
        <f>'UEA30 (colored)'!F44</f>
        <v>1.5259624466699999E-2</v>
      </c>
      <c r="G44" s="15">
        <f>'UEA30 (colored)'!G44</f>
        <v>1.7574814999999999E-6</v>
      </c>
      <c r="H44" s="15">
        <f>'UEA30 (colored)'!H44</f>
        <v>1.029188644E-4</v>
      </c>
      <c r="I44" s="15">
        <f>'UEA30 (colored)'!I44</f>
        <v>4.9888494E-6</v>
      </c>
      <c r="J44" s="15">
        <f>'UEA30 (colored)'!J44</f>
        <v>4.1271717168000002E-3</v>
      </c>
      <c r="K44" s="15">
        <f>'UEA30 (colored)'!K44</f>
        <v>1.1389955577E-3</v>
      </c>
      <c r="L44" s="15">
        <f>'UEA30 (colored)'!L44</f>
        <v>3.97302551879E-2</v>
      </c>
      <c r="M44" s="15">
        <f>'UEA30 (colored)'!M44</f>
        <v>6.5308029432000004E-3</v>
      </c>
      <c r="N44" s="15">
        <f>'UEA30 (colored)'!N44</f>
        <v>8.4948726E-5</v>
      </c>
      <c r="O44" s="15">
        <f>'UEA30 (colored)'!O44</f>
        <v>1.0429514660000001E-4</v>
      </c>
      <c r="P44" s="15">
        <f>'UEA30 (colored)'!P44</f>
        <v>5.8827127747000003E-3</v>
      </c>
      <c r="Q44" s="15">
        <f>'UEA30 (colored)'!Q44</f>
        <v>4.8768206830000001E-4</v>
      </c>
      <c r="R44" s="15">
        <f>'UEA30 (colored)'!R44</f>
        <v>1.884871277E-4</v>
      </c>
      <c r="S44" s="15">
        <f>'UEA30 (colored)'!S44</f>
        <v>1.750380135E-4</v>
      </c>
      <c r="T44" s="15">
        <f>'UEA30 (colored)'!T44</f>
        <v>3.2784897078099999E-2</v>
      </c>
      <c r="U44" s="15">
        <f>'UEA30 (colored)'!U44</f>
        <v>4.1326511634099998E-2</v>
      </c>
      <c r="V44" s="15">
        <f>'UEA30 (colored)'!V44</f>
        <v>1</v>
      </c>
    </row>
    <row r="50" spans="1:22">
      <c r="A50" s="9" t="str">
        <f>A6</f>
        <v>EC</v>
      </c>
      <c r="B50">
        <f>RANK(B6,$B6:$V6)</f>
        <v>12</v>
      </c>
      <c r="C50">
        <f t="shared" ref="C50:V50" si="0">RANK(C6,$B6:$V6)</f>
        <v>4</v>
      </c>
      <c r="D50">
        <f t="shared" si="0"/>
        <v>3</v>
      </c>
      <c r="E50">
        <f t="shared" si="0"/>
        <v>2</v>
      </c>
      <c r="F50">
        <f t="shared" si="0"/>
        <v>1</v>
      </c>
      <c r="G50">
        <f t="shared" si="0"/>
        <v>18</v>
      </c>
      <c r="H50">
        <f t="shared" si="0"/>
        <v>12</v>
      </c>
      <c r="I50">
        <f t="shared" si="0"/>
        <v>19</v>
      </c>
      <c r="J50">
        <f t="shared" si="0"/>
        <v>9</v>
      </c>
      <c r="K50">
        <f t="shared" si="0"/>
        <v>12</v>
      </c>
      <c r="L50">
        <f t="shared" si="0"/>
        <v>16</v>
      </c>
      <c r="M50">
        <f t="shared" si="0"/>
        <v>7</v>
      </c>
      <c r="N50">
        <f t="shared" si="0"/>
        <v>8</v>
      </c>
      <c r="O50">
        <f t="shared" si="0"/>
        <v>10</v>
      </c>
      <c r="P50">
        <f t="shared" si="0"/>
        <v>5</v>
      </c>
      <c r="Q50">
        <f t="shared" si="0"/>
        <v>11</v>
      </c>
      <c r="R50">
        <f t="shared" si="0"/>
        <v>12</v>
      </c>
      <c r="S50">
        <f t="shared" si="0"/>
        <v>16</v>
      </c>
      <c r="T50">
        <f t="shared" si="0"/>
        <v>21</v>
      </c>
      <c r="U50">
        <f t="shared" si="0"/>
        <v>19</v>
      </c>
      <c r="V50">
        <f t="shared" si="0"/>
        <v>6</v>
      </c>
    </row>
    <row r="51" spans="1:22">
      <c r="A51" s="9" t="str">
        <f t="shared" ref="A51:A84" si="1">A7</f>
        <v>FD</v>
      </c>
      <c r="B51">
        <f t="shared" ref="B51:V51" si="2">RANK(B7,$B7:$V7)</f>
        <v>21</v>
      </c>
      <c r="C51">
        <f t="shared" si="2"/>
        <v>17</v>
      </c>
      <c r="D51">
        <f t="shared" si="2"/>
        <v>18</v>
      </c>
      <c r="E51">
        <f t="shared" si="2"/>
        <v>20</v>
      </c>
      <c r="F51">
        <f t="shared" si="2"/>
        <v>19</v>
      </c>
      <c r="G51">
        <f t="shared" si="2"/>
        <v>6</v>
      </c>
      <c r="H51">
        <f t="shared" si="2"/>
        <v>10</v>
      </c>
      <c r="I51">
        <f t="shared" si="2"/>
        <v>9</v>
      </c>
      <c r="J51">
        <f t="shared" si="2"/>
        <v>2</v>
      </c>
      <c r="K51">
        <f t="shared" si="2"/>
        <v>14</v>
      </c>
      <c r="L51">
        <f t="shared" si="2"/>
        <v>15</v>
      </c>
      <c r="M51">
        <f t="shared" si="2"/>
        <v>4</v>
      </c>
      <c r="N51">
        <f t="shared" si="2"/>
        <v>3</v>
      </c>
      <c r="O51">
        <f t="shared" si="2"/>
        <v>12</v>
      </c>
      <c r="P51">
        <f t="shared" si="2"/>
        <v>5</v>
      </c>
      <c r="Q51">
        <f t="shared" si="2"/>
        <v>13</v>
      </c>
      <c r="R51">
        <f t="shared" si="2"/>
        <v>8</v>
      </c>
      <c r="S51">
        <f t="shared" si="2"/>
        <v>11</v>
      </c>
      <c r="T51">
        <f t="shared" si="2"/>
        <v>16</v>
      </c>
      <c r="U51">
        <f t="shared" si="2"/>
        <v>1</v>
      </c>
      <c r="V51">
        <f t="shared" si="2"/>
        <v>7</v>
      </c>
    </row>
    <row r="52" spans="1:22">
      <c r="A52" s="9" t="str">
        <f t="shared" si="1"/>
        <v>HW</v>
      </c>
      <c r="B52">
        <f t="shared" ref="B52:V52" si="3">RANK(B8,$B8:$V8)</f>
        <v>3</v>
      </c>
      <c r="C52">
        <f t="shared" si="3"/>
        <v>4</v>
      </c>
      <c r="D52">
        <f t="shared" si="3"/>
        <v>7</v>
      </c>
      <c r="E52">
        <f t="shared" si="3"/>
        <v>6</v>
      </c>
      <c r="F52">
        <f t="shared" si="3"/>
        <v>8</v>
      </c>
      <c r="G52">
        <f t="shared" si="3"/>
        <v>20</v>
      </c>
      <c r="H52">
        <f t="shared" si="3"/>
        <v>19</v>
      </c>
      <c r="I52">
        <f t="shared" si="3"/>
        <v>21</v>
      </c>
      <c r="J52">
        <f t="shared" si="3"/>
        <v>10</v>
      </c>
      <c r="K52">
        <f t="shared" si="3"/>
        <v>17</v>
      </c>
      <c r="L52">
        <f t="shared" si="3"/>
        <v>1</v>
      </c>
      <c r="M52">
        <f t="shared" si="3"/>
        <v>13</v>
      </c>
      <c r="N52">
        <f t="shared" si="3"/>
        <v>14</v>
      </c>
      <c r="O52">
        <f t="shared" si="3"/>
        <v>11</v>
      </c>
      <c r="P52">
        <f t="shared" si="3"/>
        <v>16</v>
      </c>
      <c r="Q52">
        <f t="shared" si="3"/>
        <v>18</v>
      </c>
      <c r="R52">
        <f t="shared" si="3"/>
        <v>12</v>
      </c>
      <c r="S52">
        <f t="shared" si="3"/>
        <v>15</v>
      </c>
      <c r="T52">
        <f t="shared" si="3"/>
        <v>5</v>
      </c>
      <c r="U52">
        <f t="shared" si="3"/>
        <v>9</v>
      </c>
      <c r="V52">
        <f t="shared" si="3"/>
        <v>2</v>
      </c>
    </row>
    <row r="53" spans="1:22">
      <c r="A53" s="9" t="str">
        <f t="shared" si="1"/>
        <v>HB</v>
      </c>
      <c r="B53">
        <f t="shared" ref="B53:V53" si="4">RANK(B9,$B9:$V9)</f>
        <v>21</v>
      </c>
      <c r="C53">
        <f t="shared" si="4"/>
        <v>19</v>
      </c>
      <c r="D53">
        <f t="shared" si="4"/>
        <v>9</v>
      </c>
      <c r="E53">
        <f t="shared" si="4"/>
        <v>17</v>
      </c>
      <c r="F53">
        <f t="shared" si="4"/>
        <v>16</v>
      </c>
      <c r="G53">
        <f t="shared" si="4"/>
        <v>17</v>
      </c>
      <c r="H53">
        <f t="shared" si="4"/>
        <v>15</v>
      </c>
      <c r="I53">
        <f t="shared" si="4"/>
        <v>6</v>
      </c>
      <c r="J53">
        <f t="shared" si="4"/>
        <v>1</v>
      </c>
      <c r="K53">
        <f t="shared" si="4"/>
        <v>12</v>
      </c>
      <c r="L53">
        <f t="shared" si="4"/>
        <v>5</v>
      </c>
      <c r="M53">
        <f t="shared" si="4"/>
        <v>2</v>
      </c>
      <c r="N53">
        <f t="shared" si="4"/>
        <v>12</v>
      </c>
      <c r="O53">
        <f t="shared" si="4"/>
        <v>9</v>
      </c>
      <c r="P53">
        <f t="shared" si="4"/>
        <v>6</v>
      </c>
      <c r="Q53">
        <f t="shared" si="4"/>
        <v>20</v>
      </c>
      <c r="R53">
        <f t="shared" si="4"/>
        <v>6</v>
      </c>
      <c r="S53">
        <f t="shared" si="4"/>
        <v>12</v>
      </c>
      <c r="T53">
        <f t="shared" si="4"/>
        <v>2</v>
      </c>
      <c r="U53">
        <f t="shared" si="4"/>
        <v>9</v>
      </c>
      <c r="V53">
        <f t="shared" si="4"/>
        <v>4</v>
      </c>
    </row>
    <row r="54" spans="1:22">
      <c r="A54" s="9" t="str">
        <f t="shared" si="1"/>
        <v>JV</v>
      </c>
      <c r="B54">
        <f t="shared" ref="B54:V54" si="5">RANK(B10,$B10:$V10)</f>
        <v>19</v>
      </c>
      <c r="C54">
        <f t="shared" si="5"/>
        <v>21</v>
      </c>
      <c r="D54">
        <f t="shared" si="5"/>
        <v>7</v>
      </c>
      <c r="E54">
        <f t="shared" si="5"/>
        <v>14</v>
      </c>
      <c r="F54">
        <f t="shared" si="5"/>
        <v>7</v>
      </c>
      <c r="G54">
        <f t="shared" si="5"/>
        <v>18</v>
      </c>
      <c r="H54">
        <f t="shared" si="5"/>
        <v>17</v>
      </c>
      <c r="I54">
        <f t="shared" si="5"/>
        <v>19</v>
      </c>
      <c r="J54">
        <f t="shared" si="5"/>
        <v>4</v>
      </c>
      <c r="K54">
        <f t="shared" si="5"/>
        <v>4</v>
      </c>
      <c r="L54">
        <f t="shared" si="5"/>
        <v>3</v>
      </c>
      <c r="M54">
        <f t="shared" si="5"/>
        <v>2</v>
      </c>
      <c r="N54">
        <f t="shared" si="5"/>
        <v>15</v>
      </c>
      <c r="O54">
        <f t="shared" si="5"/>
        <v>7</v>
      </c>
      <c r="P54">
        <f t="shared" si="5"/>
        <v>7</v>
      </c>
      <c r="Q54">
        <f t="shared" si="5"/>
        <v>16</v>
      </c>
      <c r="R54">
        <f t="shared" si="5"/>
        <v>12</v>
      </c>
      <c r="S54">
        <f t="shared" si="5"/>
        <v>12</v>
      </c>
      <c r="T54">
        <f t="shared" si="5"/>
        <v>1</v>
      </c>
      <c r="U54">
        <f t="shared" si="5"/>
        <v>7</v>
      </c>
      <c r="V54">
        <f t="shared" si="5"/>
        <v>4</v>
      </c>
    </row>
    <row r="55" spans="1:22">
      <c r="A55" s="9" t="str">
        <f t="shared" si="1"/>
        <v>PEMS</v>
      </c>
      <c r="B55">
        <f t="shared" ref="B55:V55" si="6">RANK(B11,$B11:$V11)</f>
        <v>21</v>
      </c>
      <c r="C55">
        <f t="shared" si="6"/>
        <v>17</v>
      </c>
      <c r="D55">
        <f t="shared" si="6"/>
        <v>2</v>
      </c>
      <c r="E55">
        <f t="shared" si="6"/>
        <v>1</v>
      </c>
      <c r="F55">
        <f t="shared" si="6"/>
        <v>18</v>
      </c>
      <c r="G55">
        <f t="shared" si="6"/>
        <v>18</v>
      </c>
      <c r="H55">
        <f t="shared" si="6"/>
        <v>11</v>
      </c>
      <c r="I55">
        <f t="shared" si="6"/>
        <v>20</v>
      </c>
      <c r="J55">
        <f t="shared" si="6"/>
        <v>11</v>
      </c>
      <c r="K55">
        <f t="shared" si="6"/>
        <v>14</v>
      </c>
      <c r="L55">
        <f t="shared" si="6"/>
        <v>6</v>
      </c>
      <c r="M55">
        <f t="shared" si="6"/>
        <v>6</v>
      </c>
      <c r="N55">
        <f t="shared" si="6"/>
        <v>6</v>
      </c>
      <c r="O55">
        <f t="shared" si="6"/>
        <v>11</v>
      </c>
      <c r="P55">
        <f t="shared" si="6"/>
        <v>5</v>
      </c>
      <c r="Q55">
        <f t="shared" si="6"/>
        <v>6</v>
      </c>
      <c r="R55">
        <f t="shared" si="6"/>
        <v>10</v>
      </c>
      <c r="S55">
        <f t="shared" si="6"/>
        <v>3</v>
      </c>
      <c r="T55">
        <f t="shared" si="6"/>
        <v>15</v>
      </c>
      <c r="U55">
        <f t="shared" si="6"/>
        <v>4</v>
      </c>
      <c r="V55">
        <f t="shared" si="6"/>
        <v>16</v>
      </c>
    </row>
    <row r="56" spans="1:22">
      <c r="A56" s="9" t="str">
        <f t="shared" si="1"/>
        <v>SRS1</v>
      </c>
      <c r="B56">
        <f t="shared" ref="B56:V56" si="7">RANK(B12,$B12:$V12)</f>
        <v>20</v>
      </c>
      <c r="C56">
        <f t="shared" si="7"/>
        <v>18</v>
      </c>
      <c r="D56">
        <f t="shared" si="7"/>
        <v>15</v>
      </c>
      <c r="E56">
        <f t="shared" si="7"/>
        <v>17</v>
      </c>
      <c r="F56">
        <f t="shared" si="7"/>
        <v>1</v>
      </c>
      <c r="G56">
        <f t="shared" si="7"/>
        <v>6</v>
      </c>
      <c r="H56">
        <f t="shared" si="7"/>
        <v>6</v>
      </c>
      <c r="I56">
        <f t="shared" si="7"/>
        <v>19</v>
      </c>
      <c r="J56">
        <f t="shared" si="7"/>
        <v>10</v>
      </c>
      <c r="K56">
        <f t="shared" si="7"/>
        <v>4</v>
      </c>
      <c r="L56">
        <f t="shared" si="7"/>
        <v>14</v>
      </c>
      <c r="M56">
        <f t="shared" si="7"/>
        <v>10</v>
      </c>
      <c r="N56">
        <f t="shared" si="7"/>
        <v>21</v>
      </c>
      <c r="O56">
        <f t="shared" si="7"/>
        <v>10</v>
      </c>
      <c r="P56">
        <f t="shared" si="7"/>
        <v>2</v>
      </c>
      <c r="Q56">
        <f t="shared" si="7"/>
        <v>15</v>
      </c>
      <c r="R56">
        <f t="shared" si="7"/>
        <v>5</v>
      </c>
      <c r="S56">
        <f t="shared" si="7"/>
        <v>2</v>
      </c>
      <c r="T56">
        <f t="shared" si="7"/>
        <v>13</v>
      </c>
      <c r="U56">
        <f t="shared" si="7"/>
        <v>6</v>
      </c>
      <c r="V56">
        <f t="shared" si="7"/>
        <v>9</v>
      </c>
    </row>
    <row r="57" spans="1:22">
      <c r="A57" s="9" t="str">
        <f t="shared" si="1"/>
        <v>SRS2</v>
      </c>
      <c r="B57">
        <f t="shared" ref="B57:V57" si="8">RANK(B13,$B13:$V13)</f>
        <v>21</v>
      </c>
      <c r="C57">
        <f t="shared" si="8"/>
        <v>18</v>
      </c>
      <c r="D57">
        <f t="shared" si="8"/>
        <v>20</v>
      </c>
      <c r="E57">
        <f t="shared" si="8"/>
        <v>13</v>
      </c>
      <c r="F57">
        <f t="shared" si="8"/>
        <v>19</v>
      </c>
      <c r="G57">
        <f t="shared" si="8"/>
        <v>17</v>
      </c>
      <c r="H57">
        <f t="shared" si="8"/>
        <v>11</v>
      </c>
      <c r="I57">
        <f t="shared" si="8"/>
        <v>15</v>
      </c>
      <c r="J57">
        <f t="shared" si="8"/>
        <v>8</v>
      </c>
      <c r="K57">
        <f t="shared" si="8"/>
        <v>8</v>
      </c>
      <c r="L57">
        <f t="shared" si="8"/>
        <v>2</v>
      </c>
      <c r="M57">
        <f t="shared" si="8"/>
        <v>6</v>
      </c>
      <c r="N57">
        <f t="shared" si="8"/>
        <v>11</v>
      </c>
      <c r="O57">
        <f t="shared" si="8"/>
        <v>8</v>
      </c>
      <c r="P57">
        <f t="shared" si="8"/>
        <v>4</v>
      </c>
      <c r="Q57">
        <f t="shared" si="8"/>
        <v>4</v>
      </c>
      <c r="R57">
        <f t="shared" si="8"/>
        <v>6</v>
      </c>
      <c r="S57">
        <f t="shared" si="8"/>
        <v>13</v>
      </c>
      <c r="T57">
        <f t="shared" si="8"/>
        <v>15</v>
      </c>
      <c r="U57">
        <f t="shared" si="8"/>
        <v>3</v>
      </c>
      <c r="V57">
        <f t="shared" si="8"/>
        <v>1</v>
      </c>
    </row>
    <row r="58" spans="1:22">
      <c r="A58" s="9" t="str">
        <f t="shared" si="1"/>
        <v>SAD</v>
      </c>
      <c r="B58">
        <f t="shared" ref="B58:V58" si="9">RANK(B14,$B14:$V14)</f>
        <v>19</v>
      </c>
      <c r="C58">
        <f t="shared" si="9"/>
        <v>10</v>
      </c>
      <c r="D58">
        <f t="shared" si="9"/>
        <v>11</v>
      </c>
      <c r="E58">
        <f t="shared" si="9"/>
        <v>11</v>
      </c>
      <c r="F58">
        <f t="shared" si="9"/>
        <v>13</v>
      </c>
      <c r="G58">
        <f t="shared" si="9"/>
        <v>20</v>
      </c>
      <c r="H58">
        <f t="shared" si="9"/>
        <v>17</v>
      </c>
      <c r="I58">
        <f t="shared" si="9"/>
        <v>7</v>
      </c>
      <c r="J58">
        <f t="shared" si="9"/>
        <v>4</v>
      </c>
      <c r="K58">
        <f t="shared" si="9"/>
        <v>6</v>
      </c>
      <c r="L58">
        <f t="shared" si="9"/>
        <v>18</v>
      </c>
      <c r="M58">
        <f t="shared" si="9"/>
        <v>4</v>
      </c>
      <c r="N58">
        <f t="shared" si="9"/>
        <v>7</v>
      </c>
      <c r="O58">
        <f t="shared" si="9"/>
        <v>14</v>
      </c>
      <c r="P58">
        <f t="shared" si="9"/>
        <v>15</v>
      </c>
      <c r="Q58">
        <f t="shared" si="9"/>
        <v>16</v>
      </c>
      <c r="R58">
        <f t="shared" si="9"/>
        <v>3</v>
      </c>
      <c r="S58">
        <f t="shared" si="9"/>
        <v>9</v>
      </c>
      <c r="T58">
        <f t="shared" si="9"/>
        <v>2</v>
      </c>
      <c r="U58">
        <f t="shared" si="9"/>
        <v>21</v>
      </c>
      <c r="V58">
        <f t="shared" si="9"/>
        <v>1</v>
      </c>
    </row>
    <row r="59" spans="1:22">
      <c r="A59" s="9" t="str">
        <f t="shared" si="1"/>
        <v>UW</v>
      </c>
      <c r="B59">
        <f t="shared" ref="B59:V59" si="10">RANK(B15,$B15:$V15)</f>
        <v>9</v>
      </c>
      <c r="C59">
        <f t="shared" si="10"/>
        <v>4</v>
      </c>
      <c r="D59">
        <f t="shared" si="10"/>
        <v>4</v>
      </c>
      <c r="E59">
        <f t="shared" si="10"/>
        <v>2</v>
      </c>
      <c r="F59">
        <f t="shared" si="10"/>
        <v>4</v>
      </c>
      <c r="G59">
        <f t="shared" si="10"/>
        <v>20</v>
      </c>
      <c r="H59">
        <f t="shared" si="10"/>
        <v>13</v>
      </c>
      <c r="I59">
        <f t="shared" si="10"/>
        <v>19</v>
      </c>
      <c r="J59">
        <f t="shared" si="10"/>
        <v>15</v>
      </c>
      <c r="K59">
        <f t="shared" si="10"/>
        <v>15</v>
      </c>
      <c r="L59">
        <f t="shared" si="10"/>
        <v>2</v>
      </c>
      <c r="M59">
        <f t="shared" si="10"/>
        <v>8</v>
      </c>
      <c r="N59">
        <f t="shared" si="10"/>
        <v>21</v>
      </c>
      <c r="O59">
        <f t="shared" si="10"/>
        <v>11</v>
      </c>
      <c r="P59">
        <f t="shared" si="10"/>
        <v>15</v>
      </c>
      <c r="Q59">
        <f t="shared" si="10"/>
        <v>12</v>
      </c>
      <c r="R59">
        <f t="shared" si="10"/>
        <v>13</v>
      </c>
      <c r="S59">
        <f t="shared" si="10"/>
        <v>10</v>
      </c>
      <c r="T59">
        <f t="shared" si="10"/>
        <v>15</v>
      </c>
      <c r="U59">
        <f t="shared" si="10"/>
        <v>1</v>
      </c>
      <c r="V59">
        <f t="shared" si="10"/>
        <v>7</v>
      </c>
    </row>
    <row r="60" spans="1:22">
      <c r="A60" s="9" t="str">
        <f t="shared" si="1"/>
        <v>AWR</v>
      </c>
      <c r="B60">
        <f t="shared" ref="B60:V60" si="11">RANK(B16,$B16:$V16)</f>
        <v>12</v>
      </c>
      <c r="C60">
        <f t="shared" si="11"/>
        <v>1</v>
      </c>
      <c r="D60">
        <f t="shared" si="11"/>
        <v>1</v>
      </c>
      <c r="E60">
        <f t="shared" si="11"/>
        <v>1</v>
      </c>
      <c r="F60">
        <f t="shared" si="11"/>
        <v>1</v>
      </c>
      <c r="G60">
        <f t="shared" si="11"/>
        <v>20</v>
      </c>
      <c r="H60">
        <f t="shared" si="11"/>
        <v>19</v>
      </c>
      <c r="I60">
        <f t="shared" si="11"/>
        <v>8</v>
      </c>
      <c r="J60">
        <f t="shared" si="11"/>
        <v>12</v>
      </c>
      <c r="K60">
        <f t="shared" si="11"/>
        <v>12</v>
      </c>
      <c r="L60">
        <f t="shared" si="11"/>
        <v>1</v>
      </c>
      <c r="M60">
        <f t="shared" si="11"/>
        <v>8</v>
      </c>
      <c r="N60">
        <f t="shared" si="11"/>
        <v>21</v>
      </c>
      <c r="O60">
        <f t="shared" si="11"/>
        <v>12</v>
      </c>
      <c r="P60">
        <f t="shared" si="11"/>
        <v>12</v>
      </c>
      <c r="Q60">
        <f t="shared" si="11"/>
        <v>12</v>
      </c>
      <c r="R60">
        <f t="shared" si="11"/>
        <v>12</v>
      </c>
      <c r="S60">
        <f t="shared" si="11"/>
        <v>8</v>
      </c>
      <c r="T60">
        <f t="shared" si="11"/>
        <v>8</v>
      </c>
      <c r="U60">
        <f t="shared" si="11"/>
        <v>1</v>
      </c>
      <c r="V60">
        <f t="shared" si="11"/>
        <v>1</v>
      </c>
    </row>
    <row r="61" spans="1:22">
      <c r="A61" s="9" t="str">
        <f t="shared" si="1"/>
        <v>AF</v>
      </c>
      <c r="B61">
        <f t="shared" ref="B61:V61" si="12">RANK(B17,$B17:$V17)</f>
        <v>18</v>
      </c>
      <c r="C61">
        <f t="shared" si="12"/>
        <v>20</v>
      </c>
      <c r="D61">
        <f t="shared" si="12"/>
        <v>18</v>
      </c>
      <c r="E61">
        <f t="shared" si="12"/>
        <v>17</v>
      </c>
      <c r="F61">
        <f t="shared" si="12"/>
        <v>20</v>
      </c>
      <c r="G61">
        <f t="shared" si="12"/>
        <v>14</v>
      </c>
      <c r="H61">
        <f t="shared" si="12"/>
        <v>3</v>
      </c>
      <c r="I61">
        <f t="shared" si="12"/>
        <v>13</v>
      </c>
      <c r="J61">
        <f t="shared" si="12"/>
        <v>7</v>
      </c>
      <c r="K61">
        <f t="shared" si="12"/>
        <v>3</v>
      </c>
      <c r="L61">
        <f t="shared" si="12"/>
        <v>7</v>
      </c>
      <c r="M61">
        <f t="shared" si="12"/>
        <v>7</v>
      </c>
      <c r="N61">
        <f t="shared" si="12"/>
        <v>3</v>
      </c>
      <c r="O61">
        <f t="shared" si="12"/>
        <v>1</v>
      </c>
      <c r="P61">
        <f t="shared" si="12"/>
        <v>3</v>
      </c>
      <c r="Q61">
        <f t="shared" si="12"/>
        <v>1</v>
      </c>
      <c r="R61">
        <f t="shared" si="12"/>
        <v>7</v>
      </c>
      <c r="S61">
        <f t="shared" si="12"/>
        <v>7</v>
      </c>
      <c r="T61">
        <f t="shared" si="12"/>
        <v>16</v>
      </c>
      <c r="U61">
        <f t="shared" si="12"/>
        <v>7</v>
      </c>
      <c r="V61">
        <f t="shared" si="12"/>
        <v>14</v>
      </c>
    </row>
    <row r="62" spans="1:22">
      <c r="A62" s="9" t="str">
        <f t="shared" si="1"/>
        <v>BM</v>
      </c>
      <c r="B62">
        <f t="shared" ref="B62:V62" si="13">RANK(B18,$B18:$V18)</f>
        <v>17</v>
      </c>
      <c r="C62">
        <f t="shared" si="13"/>
        <v>1</v>
      </c>
      <c r="D62">
        <f t="shared" si="13"/>
        <v>1</v>
      </c>
      <c r="E62">
        <f t="shared" si="13"/>
        <v>1</v>
      </c>
      <c r="F62">
        <f t="shared" si="13"/>
        <v>1</v>
      </c>
      <c r="G62">
        <f t="shared" si="13"/>
        <v>20</v>
      </c>
      <c r="H62">
        <f t="shared" si="13"/>
        <v>1</v>
      </c>
      <c r="I62">
        <f t="shared" si="13"/>
        <v>1</v>
      </c>
      <c r="J62">
        <f t="shared" si="13"/>
        <v>1</v>
      </c>
      <c r="K62">
        <f t="shared" si="13"/>
        <v>1</v>
      </c>
      <c r="L62">
        <f t="shared" si="13"/>
        <v>1</v>
      </c>
      <c r="M62">
        <f t="shared" si="13"/>
        <v>1</v>
      </c>
      <c r="N62">
        <f t="shared" si="13"/>
        <v>19</v>
      </c>
      <c r="O62">
        <f t="shared" si="13"/>
        <v>1</v>
      </c>
      <c r="P62">
        <f t="shared" si="13"/>
        <v>1</v>
      </c>
      <c r="Q62">
        <f t="shared" si="13"/>
        <v>21</v>
      </c>
      <c r="R62">
        <f t="shared" si="13"/>
        <v>1</v>
      </c>
      <c r="S62">
        <f t="shared" si="13"/>
        <v>17</v>
      </c>
      <c r="T62">
        <f t="shared" si="13"/>
        <v>1</v>
      </c>
      <c r="U62">
        <f t="shared" si="13"/>
        <v>1</v>
      </c>
      <c r="V62">
        <f t="shared" si="13"/>
        <v>1</v>
      </c>
    </row>
    <row r="63" spans="1:22">
      <c r="A63" s="9" t="str">
        <f t="shared" si="1"/>
        <v>CT</v>
      </c>
      <c r="B63">
        <f t="shared" ref="B63:V63" si="14">RANK(B19,$B19:$V19)</f>
        <v>15</v>
      </c>
      <c r="C63">
        <f t="shared" si="14"/>
        <v>7</v>
      </c>
      <c r="D63">
        <f t="shared" si="14"/>
        <v>7</v>
      </c>
      <c r="E63">
        <f t="shared" si="14"/>
        <v>10</v>
      </c>
      <c r="F63">
        <f t="shared" si="14"/>
        <v>4</v>
      </c>
      <c r="G63">
        <f t="shared" si="14"/>
        <v>19</v>
      </c>
      <c r="H63">
        <f t="shared" si="14"/>
        <v>12</v>
      </c>
      <c r="I63">
        <f t="shared" si="14"/>
        <v>20</v>
      </c>
      <c r="J63">
        <f t="shared" si="14"/>
        <v>16</v>
      </c>
      <c r="K63">
        <f t="shared" si="14"/>
        <v>7</v>
      </c>
      <c r="L63">
        <f t="shared" si="14"/>
        <v>10</v>
      </c>
      <c r="M63">
        <f t="shared" si="14"/>
        <v>4</v>
      </c>
      <c r="N63">
        <f t="shared" si="14"/>
        <v>21</v>
      </c>
      <c r="O63">
        <f t="shared" si="14"/>
        <v>17</v>
      </c>
      <c r="P63">
        <f t="shared" si="14"/>
        <v>12</v>
      </c>
      <c r="Q63">
        <f t="shared" si="14"/>
        <v>18</v>
      </c>
      <c r="R63">
        <f t="shared" si="14"/>
        <v>4</v>
      </c>
      <c r="S63">
        <f t="shared" si="14"/>
        <v>14</v>
      </c>
      <c r="T63">
        <f t="shared" si="14"/>
        <v>1</v>
      </c>
      <c r="U63">
        <f t="shared" si="14"/>
        <v>3</v>
      </c>
      <c r="V63">
        <f t="shared" si="14"/>
        <v>2</v>
      </c>
    </row>
    <row r="64" spans="1:22">
      <c r="A64" s="9" t="str">
        <f t="shared" si="1"/>
        <v>CR</v>
      </c>
      <c r="B64">
        <f t="shared" ref="B64:V64" si="15">RANK(B20,$B20:$V20)</f>
        <v>1</v>
      </c>
      <c r="C64">
        <f t="shared" si="15"/>
        <v>1</v>
      </c>
      <c r="D64">
        <f t="shared" si="15"/>
        <v>1</v>
      </c>
      <c r="E64">
        <f t="shared" si="15"/>
        <v>1</v>
      </c>
      <c r="F64">
        <f t="shared" si="15"/>
        <v>8</v>
      </c>
      <c r="G64">
        <f t="shared" si="15"/>
        <v>19</v>
      </c>
      <c r="H64">
        <f t="shared" si="15"/>
        <v>18</v>
      </c>
      <c r="I64">
        <f t="shared" si="15"/>
        <v>11</v>
      </c>
      <c r="J64">
        <f t="shared" si="15"/>
        <v>11</v>
      </c>
      <c r="K64">
        <f t="shared" si="15"/>
        <v>11</v>
      </c>
      <c r="L64">
        <f t="shared" si="15"/>
        <v>19</v>
      </c>
      <c r="M64">
        <f t="shared" si="15"/>
        <v>8</v>
      </c>
      <c r="N64">
        <f t="shared" si="15"/>
        <v>21</v>
      </c>
      <c r="O64">
        <f t="shared" si="15"/>
        <v>8</v>
      </c>
      <c r="P64">
        <f t="shared" si="15"/>
        <v>11</v>
      </c>
      <c r="Q64">
        <f t="shared" si="15"/>
        <v>11</v>
      </c>
      <c r="R64">
        <f t="shared" si="15"/>
        <v>11</v>
      </c>
      <c r="S64">
        <f t="shared" si="15"/>
        <v>11</v>
      </c>
      <c r="T64">
        <f t="shared" si="15"/>
        <v>1</v>
      </c>
      <c r="U64">
        <f t="shared" si="15"/>
        <v>1</v>
      </c>
      <c r="V64">
        <f t="shared" si="15"/>
        <v>1</v>
      </c>
    </row>
    <row r="65" spans="1:22">
      <c r="A65" s="9" t="str">
        <f t="shared" si="1"/>
        <v>DDG</v>
      </c>
      <c r="B65">
        <f t="shared" ref="B65:V65" si="16">RANK(B21,$B21:$V21)</f>
        <v>15</v>
      </c>
      <c r="C65">
        <f t="shared" si="16"/>
        <v>17</v>
      </c>
      <c r="D65">
        <f t="shared" si="16"/>
        <v>5</v>
      </c>
      <c r="E65">
        <f t="shared" si="16"/>
        <v>7</v>
      </c>
      <c r="F65">
        <f t="shared" si="16"/>
        <v>13</v>
      </c>
      <c r="G65">
        <f t="shared" si="16"/>
        <v>10</v>
      </c>
      <c r="H65">
        <f t="shared" si="16"/>
        <v>16</v>
      </c>
      <c r="I65">
        <f t="shared" si="16"/>
        <v>7</v>
      </c>
      <c r="J65">
        <f t="shared" si="16"/>
        <v>7</v>
      </c>
      <c r="K65">
        <f t="shared" si="16"/>
        <v>10</v>
      </c>
      <c r="L65">
        <f t="shared" si="16"/>
        <v>2</v>
      </c>
      <c r="M65">
        <f t="shared" si="16"/>
        <v>2</v>
      </c>
      <c r="N65">
        <f t="shared" si="16"/>
        <v>19</v>
      </c>
      <c r="O65">
        <f t="shared" si="16"/>
        <v>19</v>
      </c>
      <c r="P65">
        <f t="shared" si="16"/>
        <v>4</v>
      </c>
      <c r="Q65">
        <f t="shared" si="16"/>
        <v>21</v>
      </c>
      <c r="R65">
        <f t="shared" si="16"/>
        <v>10</v>
      </c>
      <c r="S65">
        <f t="shared" si="16"/>
        <v>13</v>
      </c>
      <c r="T65">
        <f t="shared" si="16"/>
        <v>1</v>
      </c>
      <c r="U65">
        <f t="shared" si="16"/>
        <v>18</v>
      </c>
      <c r="V65">
        <f t="shared" si="16"/>
        <v>5</v>
      </c>
    </row>
    <row r="66" spans="1:22">
      <c r="A66" s="9" t="str">
        <f t="shared" si="1"/>
        <v>EW</v>
      </c>
      <c r="B66">
        <f t="shared" ref="B66:V66" si="17">RANK(B22,$B22:$V22)</f>
        <v>15</v>
      </c>
      <c r="C66">
        <f t="shared" si="17"/>
        <v>4</v>
      </c>
      <c r="D66">
        <f t="shared" si="17"/>
        <v>3</v>
      </c>
      <c r="E66">
        <f t="shared" si="17"/>
        <v>1</v>
      </c>
      <c r="F66">
        <f t="shared" si="17"/>
        <v>1</v>
      </c>
      <c r="G66">
        <f t="shared" si="17"/>
        <v>21</v>
      </c>
      <c r="H66">
        <f t="shared" si="17"/>
        <v>20</v>
      </c>
      <c r="I66">
        <f t="shared" si="17"/>
        <v>10</v>
      </c>
      <c r="J66">
        <f t="shared" si="17"/>
        <v>13</v>
      </c>
      <c r="K66">
        <f t="shared" si="17"/>
        <v>12</v>
      </c>
      <c r="L66">
        <f t="shared" si="17"/>
        <v>8</v>
      </c>
      <c r="M66">
        <f t="shared" si="17"/>
        <v>16</v>
      </c>
      <c r="N66">
        <f t="shared" si="17"/>
        <v>13</v>
      </c>
      <c r="O66">
        <f t="shared" si="17"/>
        <v>9</v>
      </c>
      <c r="P66">
        <f t="shared" si="17"/>
        <v>18</v>
      </c>
      <c r="Q66">
        <f t="shared" si="17"/>
        <v>19</v>
      </c>
      <c r="R66">
        <f t="shared" si="17"/>
        <v>10</v>
      </c>
      <c r="S66">
        <f t="shared" si="17"/>
        <v>17</v>
      </c>
      <c r="T66">
        <f t="shared" si="17"/>
        <v>7</v>
      </c>
      <c r="U66">
        <f t="shared" si="17"/>
        <v>5</v>
      </c>
      <c r="V66">
        <f t="shared" si="17"/>
        <v>6</v>
      </c>
    </row>
    <row r="67" spans="1:22">
      <c r="A67" s="9" t="str">
        <f t="shared" si="1"/>
        <v>EP</v>
      </c>
      <c r="B67">
        <f t="shared" ref="B67:V67" si="18">RANK(B23,$B23:$V23)</f>
        <v>11</v>
      </c>
      <c r="C67">
        <f t="shared" si="18"/>
        <v>5</v>
      </c>
      <c r="D67">
        <f t="shared" si="18"/>
        <v>1</v>
      </c>
      <c r="E67">
        <f t="shared" si="18"/>
        <v>1</v>
      </c>
      <c r="F67">
        <f t="shared" si="18"/>
        <v>1</v>
      </c>
      <c r="G67">
        <f t="shared" si="18"/>
        <v>21</v>
      </c>
      <c r="H67">
        <f t="shared" si="18"/>
        <v>10</v>
      </c>
      <c r="I67">
        <f t="shared" si="18"/>
        <v>20</v>
      </c>
      <c r="J67">
        <f t="shared" si="18"/>
        <v>11</v>
      </c>
      <c r="K67">
        <f t="shared" si="18"/>
        <v>11</v>
      </c>
      <c r="L67">
        <f t="shared" si="18"/>
        <v>1</v>
      </c>
      <c r="M67">
        <f t="shared" si="18"/>
        <v>15</v>
      </c>
      <c r="N67">
        <f t="shared" si="18"/>
        <v>16</v>
      </c>
      <c r="O67">
        <f t="shared" si="18"/>
        <v>16</v>
      </c>
      <c r="P67">
        <f t="shared" si="18"/>
        <v>14</v>
      </c>
      <c r="Q67">
        <f t="shared" si="18"/>
        <v>7</v>
      </c>
      <c r="R67">
        <f t="shared" si="18"/>
        <v>18</v>
      </c>
      <c r="S67">
        <f t="shared" si="18"/>
        <v>19</v>
      </c>
      <c r="T67">
        <f t="shared" si="18"/>
        <v>8</v>
      </c>
      <c r="U67">
        <f t="shared" si="18"/>
        <v>5</v>
      </c>
      <c r="V67">
        <f t="shared" si="18"/>
        <v>8</v>
      </c>
    </row>
    <row r="68" spans="1:22">
      <c r="A68" s="9" t="str">
        <f t="shared" si="1"/>
        <v>ER</v>
      </c>
      <c r="B68">
        <f t="shared" ref="B68:V68" si="19">RANK(B24,$B24:$V24)</f>
        <v>18</v>
      </c>
      <c r="C68">
        <f t="shared" si="19"/>
        <v>2</v>
      </c>
      <c r="D68">
        <f t="shared" si="19"/>
        <v>2</v>
      </c>
      <c r="E68">
        <f t="shared" si="19"/>
        <v>2</v>
      </c>
      <c r="F68">
        <f t="shared" si="19"/>
        <v>1</v>
      </c>
      <c r="G68">
        <f t="shared" si="19"/>
        <v>17</v>
      </c>
      <c r="H68">
        <f t="shared" si="19"/>
        <v>15</v>
      </c>
      <c r="I68">
        <f t="shared" si="19"/>
        <v>21</v>
      </c>
      <c r="J68">
        <f t="shared" si="19"/>
        <v>13</v>
      </c>
      <c r="K68">
        <f t="shared" si="19"/>
        <v>5</v>
      </c>
      <c r="L68">
        <f t="shared" si="19"/>
        <v>20</v>
      </c>
      <c r="M68">
        <f t="shared" si="19"/>
        <v>9</v>
      </c>
      <c r="N68">
        <f t="shared" si="19"/>
        <v>12</v>
      </c>
      <c r="O68">
        <f t="shared" si="19"/>
        <v>9</v>
      </c>
      <c r="P68">
        <f t="shared" si="19"/>
        <v>5</v>
      </c>
      <c r="Q68">
        <f t="shared" si="19"/>
        <v>8</v>
      </c>
      <c r="R68">
        <f t="shared" si="19"/>
        <v>9</v>
      </c>
      <c r="S68">
        <f t="shared" si="19"/>
        <v>14</v>
      </c>
      <c r="T68">
        <f t="shared" si="19"/>
        <v>19</v>
      </c>
      <c r="U68">
        <f t="shared" si="19"/>
        <v>7</v>
      </c>
      <c r="V68">
        <f t="shared" si="19"/>
        <v>16</v>
      </c>
    </row>
    <row r="69" spans="1:22">
      <c r="A69" s="9" t="str">
        <f t="shared" si="1"/>
        <v>FM</v>
      </c>
      <c r="B69">
        <f t="shared" ref="B69:V69" si="20">RANK(B25,$B25:$V25)</f>
        <v>21</v>
      </c>
      <c r="C69">
        <f t="shared" si="20"/>
        <v>19</v>
      </c>
      <c r="D69">
        <f t="shared" si="20"/>
        <v>17</v>
      </c>
      <c r="E69">
        <f t="shared" si="20"/>
        <v>20</v>
      </c>
      <c r="F69">
        <f t="shared" si="20"/>
        <v>18</v>
      </c>
      <c r="G69">
        <f t="shared" si="20"/>
        <v>16</v>
      </c>
      <c r="H69">
        <f t="shared" si="20"/>
        <v>11</v>
      </c>
      <c r="I69">
        <f t="shared" si="20"/>
        <v>14</v>
      </c>
      <c r="J69">
        <f t="shared" si="20"/>
        <v>7</v>
      </c>
      <c r="K69">
        <f t="shared" si="20"/>
        <v>4</v>
      </c>
      <c r="L69">
        <f t="shared" si="20"/>
        <v>3</v>
      </c>
      <c r="M69">
        <f t="shared" si="20"/>
        <v>4</v>
      </c>
      <c r="N69">
        <f t="shared" si="20"/>
        <v>1</v>
      </c>
      <c r="O69">
        <f t="shared" si="20"/>
        <v>7</v>
      </c>
      <c r="P69">
        <f t="shared" si="20"/>
        <v>11</v>
      </c>
      <c r="Q69">
        <f t="shared" si="20"/>
        <v>14</v>
      </c>
      <c r="R69">
        <f t="shared" si="20"/>
        <v>7</v>
      </c>
      <c r="S69">
        <f t="shared" si="20"/>
        <v>11</v>
      </c>
      <c r="T69">
        <f t="shared" si="20"/>
        <v>4</v>
      </c>
      <c r="U69">
        <f t="shared" si="20"/>
        <v>7</v>
      </c>
      <c r="V69">
        <f t="shared" si="20"/>
        <v>2</v>
      </c>
    </row>
    <row r="70" spans="1:22">
      <c r="A70" s="9" t="str">
        <f t="shared" si="1"/>
        <v>HMD</v>
      </c>
      <c r="B70">
        <f t="shared" ref="B70:V70" si="21">RANK(B26,$B26:$V26)</f>
        <v>21</v>
      </c>
      <c r="C70">
        <f t="shared" si="21"/>
        <v>15</v>
      </c>
      <c r="D70">
        <f t="shared" si="21"/>
        <v>17</v>
      </c>
      <c r="E70">
        <f t="shared" si="21"/>
        <v>15</v>
      </c>
      <c r="F70">
        <f t="shared" si="21"/>
        <v>20</v>
      </c>
      <c r="G70">
        <f t="shared" si="21"/>
        <v>7</v>
      </c>
      <c r="H70">
        <f t="shared" si="21"/>
        <v>7</v>
      </c>
      <c r="I70">
        <f t="shared" si="21"/>
        <v>4</v>
      </c>
      <c r="J70">
        <f t="shared" si="21"/>
        <v>1</v>
      </c>
      <c r="K70">
        <f t="shared" si="21"/>
        <v>7</v>
      </c>
      <c r="L70">
        <f t="shared" si="21"/>
        <v>17</v>
      </c>
      <c r="M70">
        <f t="shared" si="21"/>
        <v>1</v>
      </c>
      <c r="N70">
        <f t="shared" si="21"/>
        <v>3</v>
      </c>
      <c r="O70">
        <f t="shared" si="21"/>
        <v>11</v>
      </c>
      <c r="P70">
        <f t="shared" si="21"/>
        <v>7</v>
      </c>
      <c r="Q70">
        <f t="shared" si="21"/>
        <v>11</v>
      </c>
      <c r="R70">
        <f t="shared" si="21"/>
        <v>4</v>
      </c>
      <c r="S70">
        <f t="shared" si="21"/>
        <v>14</v>
      </c>
      <c r="T70">
        <f t="shared" si="21"/>
        <v>19</v>
      </c>
      <c r="U70">
        <f t="shared" si="21"/>
        <v>13</v>
      </c>
      <c r="V70">
        <f t="shared" si="21"/>
        <v>4</v>
      </c>
    </row>
    <row r="71" spans="1:22">
      <c r="A71" s="9" t="str">
        <f t="shared" si="1"/>
        <v>IW</v>
      </c>
      <c r="B71">
        <f t="shared" ref="B71:V71" si="22">RANK(B27,$B27:$V27)</f>
        <v>18</v>
      </c>
      <c r="C71">
        <f t="shared" si="22"/>
        <v>19</v>
      </c>
      <c r="D71">
        <f t="shared" si="22"/>
        <v>9</v>
      </c>
      <c r="E71">
        <f t="shared" si="22"/>
        <v>8</v>
      </c>
      <c r="F71">
        <f t="shared" si="22"/>
        <v>11</v>
      </c>
      <c r="G71">
        <f t="shared" si="22"/>
        <v>20</v>
      </c>
      <c r="H71">
        <f t="shared" si="22"/>
        <v>5</v>
      </c>
      <c r="I71">
        <f t="shared" si="22"/>
        <v>4</v>
      </c>
      <c r="J71">
        <f t="shared" si="22"/>
        <v>15</v>
      </c>
      <c r="K71">
        <f t="shared" si="22"/>
        <v>1</v>
      </c>
      <c r="L71">
        <f t="shared" si="22"/>
        <v>21</v>
      </c>
      <c r="M71">
        <f t="shared" si="22"/>
        <v>14</v>
      </c>
      <c r="N71">
        <f t="shared" si="22"/>
        <v>12</v>
      </c>
      <c r="O71">
        <f t="shared" si="22"/>
        <v>13</v>
      </c>
      <c r="P71">
        <f t="shared" si="22"/>
        <v>2</v>
      </c>
      <c r="Q71">
        <f t="shared" si="22"/>
        <v>17</v>
      </c>
      <c r="R71">
        <f t="shared" si="22"/>
        <v>16</v>
      </c>
      <c r="S71">
        <f t="shared" si="22"/>
        <v>3</v>
      </c>
      <c r="T71">
        <f t="shared" si="22"/>
        <v>7</v>
      </c>
      <c r="U71">
        <f t="shared" si="22"/>
        <v>6</v>
      </c>
      <c r="V71">
        <f t="shared" si="22"/>
        <v>10</v>
      </c>
    </row>
    <row r="72" spans="1:22">
      <c r="A72" s="9" t="str">
        <f t="shared" si="1"/>
        <v>LIB</v>
      </c>
      <c r="B72">
        <f t="shared" ref="B72:V72" si="23">RANK(B28,$B28:$V28)</f>
        <v>18</v>
      </c>
      <c r="C72">
        <f t="shared" si="23"/>
        <v>10</v>
      </c>
      <c r="D72">
        <f t="shared" si="23"/>
        <v>3</v>
      </c>
      <c r="E72">
        <f t="shared" si="23"/>
        <v>4</v>
      </c>
      <c r="F72">
        <f t="shared" si="23"/>
        <v>4</v>
      </c>
      <c r="G72">
        <f t="shared" si="23"/>
        <v>20</v>
      </c>
      <c r="H72">
        <f t="shared" si="23"/>
        <v>14</v>
      </c>
      <c r="I72">
        <f t="shared" si="23"/>
        <v>21</v>
      </c>
      <c r="J72">
        <f t="shared" si="23"/>
        <v>15</v>
      </c>
      <c r="K72">
        <f t="shared" si="23"/>
        <v>12</v>
      </c>
      <c r="L72">
        <f t="shared" si="23"/>
        <v>2</v>
      </c>
      <c r="M72">
        <f t="shared" si="23"/>
        <v>15</v>
      </c>
      <c r="N72">
        <f t="shared" si="23"/>
        <v>4</v>
      </c>
      <c r="O72">
        <f t="shared" si="23"/>
        <v>12</v>
      </c>
      <c r="P72">
        <f t="shared" si="23"/>
        <v>10</v>
      </c>
      <c r="Q72">
        <f t="shared" si="23"/>
        <v>19</v>
      </c>
      <c r="R72">
        <f t="shared" si="23"/>
        <v>17</v>
      </c>
      <c r="S72">
        <f t="shared" si="23"/>
        <v>7</v>
      </c>
      <c r="T72">
        <f t="shared" si="23"/>
        <v>1</v>
      </c>
      <c r="U72">
        <f t="shared" si="23"/>
        <v>7</v>
      </c>
      <c r="V72">
        <f t="shared" si="23"/>
        <v>7</v>
      </c>
    </row>
    <row r="73" spans="1:22">
      <c r="A73" s="9" t="str">
        <f t="shared" si="1"/>
        <v>LSST</v>
      </c>
      <c r="B73">
        <f t="shared" ref="B73:V73" si="24">RANK(B29,$B29:$V29)</f>
        <v>8</v>
      </c>
      <c r="C73">
        <f t="shared" si="24"/>
        <v>4</v>
      </c>
      <c r="D73">
        <f t="shared" si="24"/>
        <v>2</v>
      </c>
      <c r="E73">
        <f t="shared" si="24"/>
        <v>1</v>
      </c>
      <c r="F73">
        <f t="shared" si="24"/>
        <v>3</v>
      </c>
      <c r="G73">
        <f t="shared" si="24"/>
        <v>21</v>
      </c>
      <c r="H73">
        <f t="shared" si="24"/>
        <v>15</v>
      </c>
      <c r="I73">
        <f t="shared" si="24"/>
        <v>20</v>
      </c>
      <c r="J73">
        <f t="shared" si="24"/>
        <v>12</v>
      </c>
      <c r="K73">
        <f t="shared" si="24"/>
        <v>13</v>
      </c>
      <c r="L73">
        <f t="shared" si="24"/>
        <v>9</v>
      </c>
      <c r="M73">
        <f t="shared" si="24"/>
        <v>11</v>
      </c>
      <c r="N73">
        <f t="shared" si="24"/>
        <v>17</v>
      </c>
      <c r="O73">
        <f t="shared" si="24"/>
        <v>16</v>
      </c>
      <c r="P73">
        <f t="shared" si="24"/>
        <v>14</v>
      </c>
      <c r="Q73">
        <f t="shared" si="24"/>
        <v>7</v>
      </c>
      <c r="R73">
        <f t="shared" si="24"/>
        <v>19</v>
      </c>
      <c r="S73">
        <f t="shared" si="24"/>
        <v>18</v>
      </c>
      <c r="T73">
        <f t="shared" si="24"/>
        <v>6</v>
      </c>
      <c r="U73">
        <f t="shared" si="24"/>
        <v>5</v>
      </c>
      <c r="V73">
        <f t="shared" si="24"/>
        <v>10</v>
      </c>
    </row>
    <row r="74" spans="1:22">
      <c r="A74" s="9" t="str">
        <f t="shared" si="1"/>
        <v>MI</v>
      </c>
      <c r="B74">
        <f t="shared" ref="B74:V74" si="25">RANK(B30,$B30:$V30)</f>
        <v>20</v>
      </c>
      <c r="C74">
        <f t="shared" si="25"/>
        <v>17</v>
      </c>
      <c r="D74">
        <f t="shared" si="25"/>
        <v>20</v>
      </c>
      <c r="E74">
        <f t="shared" si="25"/>
        <v>17</v>
      </c>
      <c r="F74">
        <f t="shared" si="25"/>
        <v>19</v>
      </c>
      <c r="G74">
        <f t="shared" si="25"/>
        <v>16</v>
      </c>
      <c r="H74">
        <f t="shared" si="25"/>
        <v>4</v>
      </c>
      <c r="I74">
        <f t="shared" si="25"/>
        <v>14</v>
      </c>
      <c r="J74">
        <f t="shared" si="25"/>
        <v>4</v>
      </c>
      <c r="K74">
        <f t="shared" si="25"/>
        <v>7</v>
      </c>
      <c r="L74">
        <f t="shared" si="25"/>
        <v>1</v>
      </c>
      <c r="M74">
        <f t="shared" si="25"/>
        <v>7</v>
      </c>
      <c r="N74">
        <f t="shared" si="25"/>
        <v>15</v>
      </c>
      <c r="O74">
        <f t="shared" si="25"/>
        <v>7</v>
      </c>
      <c r="P74">
        <f t="shared" si="25"/>
        <v>4</v>
      </c>
      <c r="Q74">
        <f t="shared" si="25"/>
        <v>2</v>
      </c>
      <c r="R74">
        <f t="shared" si="25"/>
        <v>7</v>
      </c>
      <c r="S74">
        <f t="shared" si="25"/>
        <v>7</v>
      </c>
      <c r="T74">
        <f t="shared" si="25"/>
        <v>7</v>
      </c>
      <c r="U74">
        <f t="shared" si="25"/>
        <v>7</v>
      </c>
      <c r="V74">
        <f t="shared" si="25"/>
        <v>2</v>
      </c>
    </row>
    <row r="75" spans="1:22">
      <c r="A75" s="9" t="str">
        <f t="shared" si="1"/>
        <v>NATO</v>
      </c>
      <c r="B75">
        <f t="shared" ref="B75:V75" si="26">RANK(B31,$B31:$V31)</f>
        <v>20</v>
      </c>
      <c r="C75">
        <f t="shared" si="26"/>
        <v>18</v>
      </c>
      <c r="D75">
        <f t="shared" si="26"/>
        <v>16</v>
      </c>
      <c r="E75">
        <f t="shared" si="26"/>
        <v>17</v>
      </c>
      <c r="F75">
        <f t="shared" si="26"/>
        <v>13</v>
      </c>
      <c r="G75">
        <f t="shared" si="26"/>
        <v>6</v>
      </c>
      <c r="H75">
        <f t="shared" si="26"/>
        <v>5</v>
      </c>
      <c r="I75">
        <f t="shared" si="26"/>
        <v>11</v>
      </c>
      <c r="J75">
        <f t="shared" si="26"/>
        <v>4</v>
      </c>
      <c r="K75">
        <f t="shared" si="26"/>
        <v>10</v>
      </c>
      <c r="L75">
        <f t="shared" si="26"/>
        <v>1</v>
      </c>
      <c r="M75">
        <f t="shared" si="26"/>
        <v>6</v>
      </c>
      <c r="N75">
        <f t="shared" si="26"/>
        <v>6</v>
      </c>
      <c r="O75">
        <f t="shared" si="26"/>
        <v>13</v>
      </c>
      <c r="P75">
        <f t="shared" si="26"/>
        <v>12</v>
      </c>
      <c r="Q75">
        <f t="shared" si="26"/>
        <v>21</v>
      </c>
      <c r="R75">
        <f t="shared" si="26"/>
        <v>6</v>
      </c>
      <c r="S75">
        <f t="shared" si="26"/>
        <v>19</v>
      </c>
      <c r="T75">
        <f t="shared" si="26"/>
        <v>2</v>
      </c>
      <c r="U75">
        <f t="shared" si="26"/>
        <v>15</v>
      </c>
      <c r="V75">
        <f t="shared" si="26"/>
        <v>2</v>
      </c>
    </row>
    <row r="76" spans="1:22">
      <c r="A76" s="9" t="str">
        <f t="shared" si="1"/>
        <v>PD</v>
      </c>
      <c r="B76">
        <f t="shared" ref="B76:V76" si="27">RANK(B32,$B32:$V32)</f>
        <v>16</v>
      </c>
      <c r="C76">
        <f t="shared" si="27"/>
        <v>14</v>
      </c>
      <c r="D76">
        <f t="shared" si="27"/>
        <v>17</v>
      </c>
      <c r="E76">
        <f t="shared" si="27"/>
        <v>15</v>
      </c>
      <c r="F76">
        <f t="shared" si="27"/>
        <v>18</v>
      </c>
      <c r="G76">
        <f t="shared" si="27"/>
        <v>20</v>
      </c>
      <c r="H76">
        <f t="shared" si="27"/>
        <v>19</v>
      </c>
      <c r="I76">
        <f t="shared" si="27"/>
        <v>21</v>
      </c>
      <c r="J76">
        <f t="shared" si="27"/>
        <v>4</v>
      </c>
      <c r="K76">
        <f t="shared" si="27"/>
        <v>8</v>
      </c>
      <c r="L76">
        <f t="shared" si="27"/>
        <v>3</v>
      </c>
      <c r="M76">
        <f t="shared" si="27"/>
        <v>5</v>
      </c>
      <c r="N76">
        <f t="shared" si="27"/>
        <v>5</v>
      </c>
      <c r="O76">
        <f t="shared" si="27"/>
        <v>7</v>
      </c>
      <c r="P76">
        <f t="shared" si="27"/>
        <v>8</v>
      </c>
      <c r="Q76">
        <f t="shared" si="27"/>
        <v>12</v>
      </c>
      <c r="R76">
        <f t="shared" si="27"/>
        <v>8</v>
      </c>
      <c r="S76">
        <f t="shared" si="27"/>
        <v>13</v>
      </c>
      <c r="T76">
        <f t="shared" si="27"/>
        <v>1</v>
      </c>
      <c r="U76">
        <f t="shared" si="27"/>
        <v>8</v>
      </c>
      <c r="V76">
        <f t="shared" si="27"/>
        <v>2</v>
      </c>
    </row>
    <row r="77" spans="1:22">
      <c r="A77" s="9" t="str">
        <f t="shared" si="1"/>
        <v>PS</v>
      </c>
      <c r="B77">
        <f t="shared" ref="B77:V77" si="28">RANK(B33,$B33:$V33)</f>
        <v>10</v>
      </c>
      <c r="C77">
        <f t="shared" si="28"/>
        <v>6</v>
      </c>
      <c r="D77">
        <f t="shared" si="28"/>
        <v>4</v>
      </c>
      <c r="E77">
        <f t="shared" si="28"/>
        <v>2</v>
      </c>
      <c r="F77">
        <f t="shared" si="28"/>
        <v>1</v>
      </c>
      <c r="G77">
        <f t="shared" si="28"/>
        <v>19</v>
      </c>
      <c r="H77">
        <f t="shared" si="28"/>
        <v>8</v>
      </c>
      <c r="I77">
        <f t="shared" si="28"/>
        <v>20</v>
      </c>
      <c r="J77">
        <f t="shared" si="28"/>
        <v>12</v>
      </c>
      <c r="K77">
        <f t="shared" si="28"/>
        <v>15</v>
      </c>
      <c r="L77">
        <f t="shared" si="28"/>
        <v>21</v>
      </c>
      <c r="M77">
        <f t="shared" si="28"/>
        <v>9</v>
      </c>
      <c r="N77">
        <f t="shared" si="28"/>
        <v>17</v>
      </c>
      <c r="O77">
        <f t="shared" si="28"/>
        <v>13</v>
      </c>
      <c r="P77">
        <f t="shared" si="28"/>
        <v>14</v>
      </c>
      <c r="Q77">
        <f t="shared" si="28"/>
        <v>11</v>
      </c>
      <c r="R77">
        <f t="shared" si="28"/>
        <v>16</v>
      </c>
      <c r="S77">
        <f t="shared" si="28"/>
        <v>18</v>
      </c>
      <c r="T77">
        <f t="shared" si="28"/>
        <v>3</v>
      </c>
      <c r="U77">
        <f t="shared" si="28"/>
        <v>7</v>
      </c>
      <c r="V77">
        <f t="shared" si="28"/>
        <v>5</v>
      </c>
    </row>
    <row r="78" spans="1:22">
      <c r="A78" s="9" t="str">
        <f t="shared" si="1"/>
        <v>RS</v>
      </c>
      <c r="B78">
        <f t="shared" ref="B78:V78" si="29">RANK(B34,$B34:$V34)</f>
        <v>20</v>
      </c>
      <c r="C78">
        <f t="shared" si="29"/>
        <v>6</v>
      </c>
      <c r="D78">
        <f t="shared" si="29"/>
        <v>8</v>
      </c>
      <c r="E78">
        <f t="shared" si="29"/>
        <v>3</v>
      </c>
      <c r="F78">
        <f t="shared" si="29"/>
        <v>8</v>
      </c>
      <c r="G78">
        <f t="shared" si="29"/>
        <v>21</v>
      </c>
      <c r="H78">
        <f t="shared" si="29"/>
        <v>18</v>
      </c>
      <c r="I78">
        <f t="shared" si="29"/>
        <v>12</v>
      </c>
      <c r="J78">
        <f t="shared" si="29"/>
        <v>10</v>
      </c>
      <c r="K78">
        <f t="shared" si="29"/>
        <v>17</v>
      </c>
      <c r="L78">
        <f t="shared" si="29"/>
        <v>1</v>
      </c>
      <c r="M78">
        <f t="shared" si="29"/>
        <v>3</v>
      </c>
      <c r="N78">
        <f t="shared" si="29"/>
        <v>16</v>
      </c>
      <c r="O78">
        <f t="shared" si="29"/>
        <v>14</v>
      </c>
      <c r="P78">
        <f t="shared" si="29"/>
        <v>11</v>
      </c>
      <c r="Q78">
        <f t="shared" si="29"/>
        <v>14</v>
      </c>
      <c r="R78">
        <f t="shared" si="29"/>
        <v>12</v>
      </c>
      <c r="S78">
        <f t="shared" si="29"/>
        <v>18</v>
      </c>
      <c r="T78">
        <f t="shared" si="29"/>
        <v>3</v>
      </c>
      <c r="U78">
        <f t="shared" si="29"/>
        <v>6</v>
      </c>
      <c r="V78">
        <f t="shared" si="29"/>
        <v>2</v>
      </c>
    </row>
    <row r="79" spans="1:22">
      <c r="A79" s="9" t="str">
        <f t="shared" si="1"/>
        <v>SWJ</v>
      </c>
      <c r="B79">
        <f t="shared" ref="B79:V79" si="30">RANK(B35,$B35:$V35)</f>
        <v>21</v>
      </c>
      <c r="C79">
        <f t="shared" si="30"/>
        <v>18</v>
      </c>
      <c r="D79">
        <f t="shared" si="30"/>
        <v>19</v>
      </c>
      <c r="E79">
        <f t="shared" si="30"/>
        <v>19</v>
      </c>
      <c r="F79">
        <f t="shared" si="30"/>
        <v>11</v>
      </c>
      <c r="G79">
        <f t="shared" si="30"/>
        <v>17</v>
      </c>
      <c r="H79">
        <f t="shared" si="30"/>
        <v>4</v>
      </c>
      <c r="I79">
        <f t="shared" si="30"/>
        <v>11</v>
      </c>
      <c r="J79">
        <f t="shared" si="30"/>
        <v>11</v>
      </c>
      <c r="K79">
        <f t="shared" si="30"/>
        <v>2</v>
      </c>
      <c r="L79">
        <f t="shared" si="30"/>
        <v>4</v>
      </c>
      <c r="M79">
        <f t="shared" si="30"/>
        <v>4</v>
      </c>
      <c r="N79">
        <f t="shared" si="30"/>
        <v>11</v>
      </c>
      <c r="O79">
        <f t="shared" si="30"/>
        <v>11</v>
      </c>
      <c r="P79">
        <f t="shared" si="30"/>
        <v>2</v>
      </c>
      <c r="Q79">
        <f t="shared" si="30"/>
        <v>1</v>
      </c>
      <c r="R79">
        <f t="shared" si="30"/>
        <v>4</v>
      </c>
      <c r="S79">
        <f t="shared" si="30"/>
        <v>4</v>
      </c>
      <c r="T79">
        <f t="shared" si="30"/>
        <v>16</v>
      </c>
      <c r="U79">
        <f t="shared" si="30"/>
        <v>4</v>
      </c>
      <c r="V79">
        <f t="shared" si="30"/>
        <v>4</v>
      </c>
    </row>
    <row r="80" spans="1:22">
      <c r="A80" s="9" t="str">
        <f t="shared" si="1"/>
        <v>avg. acc (10)</v>
      </c>
      <c r="B80">
        <f t="shared" ref="B80:V80" si="31">RANK(B36,$B36:$V36)</f>
        <v>20</v>
      </c>
      <c r="C80">
        <f t="shared" si="31"/>
        <v>11</v>
      </c>
      <c r="D80">
        <f t="shared" si="31"/>
        <v>3</v>
      </c>
      <c r="E80">
        <f t="shared" si="31"/>
        <v>2</v>
      </c>
      <c r="F80">
        <f t="shared" si="31"/>
        <v>4</v>
      </c>
      <c r="G80">
        <f t="shared" si="31"/>
        <v>19</v>
      </c>
      <c r="H80">
        <f t="shared" si="31"/>
        <v>17</v>
      </c>
      <c r="I80">
        <f t="shared" si="31"/>
        <v>21</v>
      </c>
      <c r="J80">
        <f t="shared" si="31"/>
        <v>9</v>
      </c>
      <c r="K80">
        <f t="shared" si="31"/>
        <v>15</v>
      </c>
      <c r="L80">
        <f t="shared" si="31"/>
        <v>5</v>
      </c>
      <c r="M80">
        <f t="shared" si="31"/>
        <v>10</v>
      </c>
      <c r="N80">
        <f t="shared" si="31"/>
        <v>18</v>
      </c>
      <c r="O80">
        <f t="shared" si="31"/>
        <v>13</v>
      </c>
      <c r="P80">
        <f t="shared" si="31"/>
        <v>8</v>
      </c>
      <c r="Q80">
        <f t="shared" si="31"/>
        <v>16</v>
      </c>
      <c r="R80">
        <f t="shared" si="31"/>
        <v>12</v>
      </c>
      <c r="S80">
        <f t="shared" si="31"/>
        <v>14</v>
      </c>
      <c r="T80">
        <f t="shared" si="31"/>
        <v>7</v>
      </c>
      <c r="U80">
        <f t="shared" si="31"/>
        <v>6</v>
      </c>
      <c r="V80">
        <f t="shared" si="31"/>
        <v>1</v>
      </c>
    </row>
    <row r="81" spans="1:22">
      <c r="A81" s="9" t="str">
        <f t="shared" si="1"/>
        <v>avg. acc</v>
      </c>
      <c r="B81">
        <f t="shared" ref="B81:V81" si="32">RANK(B37,$B37:$V37)</f>
        <v>21</v>
      </c>
      <c r="C81">
        <f t="shared" si="32"/>
        <v>18</v>
      </c>
      <c r="D81">
        <f t="shared" si="32"/>
        <v>9</v>
      </c>
      <c r="E81">
        <f t="shared" si="32"/>
        <v>6</v>
      </c>
      <c r="F81">
        <f t="shared" si="32"/>
        <v>10</v>
      </c>
      <c r="G81">
        <f t="shared" si="32"/>
        <v>20</v>
      </c>
      <c r="H81">
        <f t="shared" si="32"/>
        <v>14</v>
      </c>
      <c r="I81">
        <f t="shared" si="32"/>
        <v>19</v>
      </c>
      <c r="J81">
        <f t="shared" si="32"/>
        <v>8</v>
      </c>
      <c r="K81">
        <f t="shared" si="32"/>
        <v>7</v>
      </c>
      <c r="L81">
        <f t="shared" si="32"/>
        <v>11</v>
      </c>
      <c r="M81">
        <f t="shared" si="32"/>
        <v>5</v>
      </c>
      <c r="N81">
        <f t="shared" si="32"/>
        <v>17</v>
      </c>
      <c r="O81">
        <f t="shared" si="32"/>
        <v>13</v>
      </c>
      <c r="P81">
        <f t="shared" si="32"/>
        <v>4</v>
      </c>
      <c r="Q81">
        <f t="shared" si="32"/>
        <v>16</v>
      </c>
      <c r="R81">
        <f t="shared" si="32"/>
        <v>12</v>
      </c>
      <c r="S81">
        <f t="shared" si="32"/>
        <v>15</v>
      </c>
      <c r="T81">
        <f t="shared" si="32"/>
        <v>3</v>
      </c>
      <c r="U81">
        <f t="shared" si="32"/>
        <v>2</v>
      </c>
      <c r="V81">
        <f t="shared" si="32"/>
        <v>1</v>
      </c>
    </row>
    <row r="82" spans="1:22">
      <c r="A82" s="9" t="str">
        <f t="shared" si="1"/>
        <v>avg. rank</v>
      </c>
      <c r="B82">
        <f t="shared" ref="B82:U82" si="33">RANK(B38,$B38:$V38,1)</f>
        <v>20</v>
      </c>
      <c r="C82">
        <f t="shared" si="33"/>
        <v>14</v>
      </c>
      <c r="D82">
        <f t="shared" si="33"/>
        <v>9</v>
      </c>
      <c r="E82">
        <f t="shared" si="33"/>
        <v>8</v>
      </c>
      <c r="F82">
        <f t="shared" si="33"/>
        <v>11</v>
      </c>
      <c r="G82">
        <f t="shared" si="33"/>
        <v>21</v>
      </c>
      <c r="H82">
        <f t="shared" si="33"/>
        <v>15</v>
      </c>
      <c r="I82">
        <f t="shared" si="33"/>
        <v>19</v>
      </c>
      <c r="J82">
        <f t="shared" si="33"/>
        <v>7</v>
      </c>
      <c r="K82">
        <f t="shared" si="33"/>
        <v>10</v>
      </c>
      <c r="L82">
        <f t="shared" si="33"/>
        <v>4</v>
      </c>
      <c r="M82">
        <f t="shared" si="33"/>
        <v>2</v>
      </c>
      <c r="N82">
        <f t="shared" si="33"/>
        <v>17</v>
      </c>
      <c r="O82">
        <f t="shared" si="33"/>
        <v>13</v>
      </c>
      <c r="P82">
        <f t="shared" si="33"/>
        <v>6</v>
      </c>
      <c r="Q82">
        <f t="shared" si="33"/>
        <v>18</v>
      </c>
      <c r="R82">
        <f t="shared" si="33"/>
        <v>12</v>
      </c>
      <c r="S82">
        <f t="shared" si="33"/>
        <v>15</v>
      </c>
      <c r="T82">
        <f t="shared" si="33"/>
        <v>5</v>
      </c>
      <c r="U82">
        <f t="shared" si="33"/>
        <v>3</v>
      </c>
      <c r="V82">
        <f>RANK(V38,$B38:$V38,1)</f>
        <v>1</v>
      </c>
    </row>
    <row r="83" spans="1:22">
      <c r="A83" s="9" t="str">
        <f t="shared" si="1"/>
        <v>\# of top-1</v>
      </c>
      <c r="B83">
        <f t="shared" ref="B83:V83" si="34">RANK(B39,$B39:$V39)</f>
        <v>14</v>
      </c>
      <c r="C83">
        <f t="shared" si="34"/>
        <v>8</v>
      </c>
      <c r="D83">
        <f t="shared" si="34"/>
        <v>7</v>
      </c>
      <c r="E83">
        <f t="shared" si="34"/>
        <v>2</v>
      </c>
      <c r="F83">
        <f t="shared" si="34"/>
        <v>1</v>
      </c>
      <c r="G83">
        <f t="shared" si="34"/>
        <v>20</v>
      </c>
      <c r="H83">
        <f t="shared" si="34"/>
        <v>14</v>
      </c>
      <c r="I83">
        <f t="shared" si="34"/>
        <v>14</v>
      </c>
      <c r="J83">
        <f t="shared" si="34"/>
        <v>8</v>
      </c>
      <c r="K83">
        <f t="shared" si="34"/>
        <v>10</v>
      </c>
      <c r="L83">
        <f t="shared" si="34"/>
        <v>2</v>
      </c>
      <c r="M83">
        <f t="shared" si="34"/>
        <v>10</v>
      </c>
      <c r="N83">
        <f t="shared" si="34"/>
        <v>14</v>
      </c>
      <c r="O83">
        <f t="shared" si="34"/>
        <v>10</v>
      </c>
      <c r="P83">
        <f t="shared" si="34"/>
        <v>14</v>
      </c>
      <c r="Q83">
        <f t="shared" si="34"/>
        <v>10</v>
      </c>
      <c r="R83">
        <f t="shared" si="34"/>
        <v>14</v>
      </c>
      <c r="S83">
        <f t="shared" si="34"/>
        <v>20</v>
      </c>
      <c r="T83">
        <f t="shared" si="34"/>
        <v>2</v>
      </c>
      <c r="U83">
        <f t="shared" si="34"/>
        <v>5</v>
      </c>
      <c r="V83">
        <f t="shared" si="34"/>
        <v>5</v>
      </c>
    </row>
    <row r="84" spans="1:22">
      <c r="A84" s="9" t="str">
        <f t="shared" si="1"/>
        <v>\# of top-5</v>
      </c>
      <c r="B84">
        <f t="shared" ref="B84:V84" si="35">RANK(B40,$B40:$V40)</f>
        <v>19</v>
      </c>
      <c r="C84">
        <f t="shared" si="35"/>
        <v>10</v>
      </c>
      <c r="D84">
        <f t="shared" si="35"/>
        <v>4</v>
      </c>
      <c r="E84">
        <f t="shared" si="35"/>
        <v>4</v>
      </c>
      <c r="F84">
        <f t="shared" si="35"/>
        <v>6</v>
      </c>
      <c r="G84">
        <f t="shared" si="35"/>
        <v>21</v>
      </c>
      <c r="H84">
        <f t="shared" si="35"/>
        <v>13</v>
      </c>
      <c r="I84">
        <f t="shared" si="35"/>
        <v>18</v>
      </c>
      <c r="J84">
        <f t="shared" si="35"/>
        <v>11</v>
      </c>
      <c r="K84">
        <f t="shared" si="35"/>
        <v>12</v>
      </c>
      <c r="L84">
        <f t="shared" si="35"/>
        <v>2</v>
      </c>
      <c r="M84">
        <f t="shared" si="35"/>
        <v>6</v>
      </c>
      <c r="N84">
        <f t="shared" si="35"/>
        <v>13</v>
      </c>
      <c r="O84">
        <f t="shared" si="35"/>
        <v>19</v>
      </c>
      <c r="P84">
        <f t="shared" si="35"/>
        <v>6</v>
      </c>
      <c r="Q84">
        <f t="shared" si="35"/>
        <v>16</v>
      </c>
      <c r="R84">
        <f t="shared" si="35"/>
        <v>13</v>
      </c>
      <c r="S84">
        <f t="shared" si="35"/>
        <v>16</v>
      </c>
      <c r="T84">
        <f t="shared" si="35"/>
        <v>3</v>
      </c>
      <c r="U84">
        <f t="shared" si="35"/>
        <v>6</v>
      </c>
      <c r="V84">
        <f t="shared" si="35"/>
        <v>1</v>
      </c>
    </row>
    <row r="85" spans="1:22">
      <c r="A85" s="9" t="str">
        <f>A41</f>
        <v>\# of top-10</v>
      </c>
      <c r="B85">
        <f t="shared" ref="B85:V85" si="36">RANK(B41,$B41:$V41)</f>
        <v>20</v>
      </c>
      <c r="C85">
        <f t="shared" si="36"/>
        <v>13</v>
      </c>
      <c r="D85">
        <f t="shared" si="36"/>
        <v>6</v>
      </c>
      <c r="E85">
        <f t="shared" si="36"/>
        <v>8</v>
      </c>
      <c r="F85">
        <f t="shared" si="36"/>
        <v>11</v>
      </c>
      <c r="G85">
        <f t="shared" si="36"/>
        <v>20</v>
      </c>
      <c r="H85">
        <f t="shared" si="36"/>
        <v>15</v>
      </c>
      <c r="I85">
        <f t="shared" si="36"/>
        <v>18</v>
      </c>
      <c r="J85">
        <f t="shared" si="36"/>
        <v>8</v>
      </c>
      <c r="K85">
        <f t="shared" si="36"/>
        <v>11</v>
      </c>
      <c r="L85">
        <f t="shared" si="36"/>
        <v>4</v>
      </c>
      <c r="M85">
        <f t="shared" si="36"/>
        <v>3</v>
      </c>
      <c r="N85">
        <f t="shared" si="36"/>
        <v>16</v>
      </c>
      <c r="O85">
        <f t="shared" si="36"/>
        <v>14</v>
      </c>
      <c r="P85">
        <f t="shared" si="36"/>
        <v>8</v>
      </c>
      <c r="Q85">
        <f t="shared" si="36"/>
        <v>19</v>
      </c>
      <c r="R85">
        <f t="shared" si="36"/>
        <v>7</v>
      </c>
      <c r="S85">
        <f t="shared" si="36"/>
        <v>16</v>
      </c>
      <c r="T85">
        <f t="shared" si="36"/>
        <v>5</v>
      </c>
      <c r="U85">
        <f t="shared" si="36"/>
        <v>2</v>
      </c>
      <c r="V85">
        <f t="shared" si="36"/>
        <v>1</v>
      </c>
    </row>
    <row r="86" spans="1:22">
      <c r="A86" s="9"/>
    </row>
    <row r="87" spans="1:22">
      <c r="A87" s="9"/>
    </row>
    <row r="88" spans="1:22">
      <c r="A88" s="9"/>
    </row>
    <row r="89" spans="1:22">
      <c r="A89" s="9"/>
    </row>
    <row r="90" spans="1:22">
      <c r="A90" s="9"/>
    </row>
    <row r="91" spans="1:22">
      <c r="A91" s="9"/>
    </row>
    <row r="92" spans="1:22">
      <c r="A92" s="9"/>
    </row>
    <row r="93" spans="1:22">
      <c r="A93" s="9"/>
    </row>
    <row r="94" spans="1:22">
      <c r="A94" s="9"/>
    </row>
    <row r="95" spans="1:22">
      <c r="A95" s="9"/>
    </row>
    <row r="96" spans="1:22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</sheetData>
  <mergeCells count="6">
    <mergeCell ref="B4:F4"/>
    <mergeCell ref="U4:V4"/>
    <mergeCell ref="N4:S4"/>
    <mergeCell ref="G4:I4"/>
    <mergeCell ref="J4:K4"/>
    <mergeCell ref="L4:M4"/>
  </mergeCells>
  <phoneticPr fontId="2" type="noConversion"/>
  <conditionalFormatting sqref="A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8">
    <cfRule type="colorScale" priority="34">
      <colorScale>
        <cfvo type="min"/>
        <cfvo type="max"/>
        <color theme="8"/>
        <color theme="0"/>
      </colorScale>
    </cfRule>
  </conditionalFormatting>
  <conditionalFormatting sqref="A39">
    <cfRule type="colorScale" priority="36">
      <colorScale>
        <cfvo type="min"/>
        <cfvo type="max"/>
        <color theme="0"/>
        <color theme="8"/>
      </colorScale>
    </cfRule>
  </conditionalFormatting>
  <conditionalFormatting sqref="A40">
    <cfRule type="colorScale" priority="33">
      <colorScale>
        <cfvo type="min"/>
        <cfvo type="max"/>
        <color theme="0"/>
        <color theme="8"/>
      </colorScale>
    </cfRule>
  </conditionalFormatting>
  <conditionalFormatting sqref="A41">
    <cfRule type="colorScale" priority="35">
      <colorScale>
        <cfvo type="min"/>
        <cfvo type="max"/>
        <color theme="0"/>
        <color theme="8"/>
      </colorScale>
    </cfRule>
  </conditionalFormatting>
  <conditionalFormatting sqref="B50:V85">
    <cfRule type="cellIs" dxfId="3" priority="2" operator="equal">
      <formula>1</formula>
    </cfRule>
    <cfRule type="cellIs" dxfId="2" priority="1" operator="equal">
      <formula>2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29A9-6E5D-1B4F-BF51-9BD70E1CB28B}">
  <dimension ref="A4:V143"/>
  <sheetViews>
    <sheetView topLeftCell="A7" zoomScale="91" zoomScaleNormal="91" workbookViewId="0">
      <pane xSplit="1" topLeftCell="B1" activePane="topRight" state="frozen"/>
      <selection activeCell="A3" sqref="A3"/>
      <selection pane="topRight" activeCell="M38" sqref="M38"/>
    </sheetView>
  </sheetViews>
  <sheetFormatPr baseColWidth="10" defaultRowHeight="18"/>
  <cols>
    <col min="1" max="1" width="13.85546875" bestFit="1" customWidth="1"/>
    <col min="2" max="21" width="8.5703125" customWidth="1"/>
    <col min="22" max="22" width="9.5703125" customWidth="1"/>
  </cols>
  <sheetData>
    <row r="4" spans="1:22" ht="43" customHeight="1">
      <c r="B4" s="26" t="s">
        <v>41</v>
      </c>
      <c r="C4" s="26"/>
      <c r="D4" s="26"/>
      <c r="E4" s="26"/>
      <c r="F4" s="26"/>
      <c r="G4" s="26" t="s">
        <v>55</v>
      </c>
      <c r="H4" s="26"/>
      <c r="I4" s="26"/>
      <c r="J4" s="26" t="s">
        <v>57</v>
      </c>
      <c r="K4" s="26"/>
      <c r="L4" s="27" t="s">
        <v>56</v>
      </c>
      <c r="M4" s="27"/>
      <c r="N4" s="26" t="s">
        <v>58</v>
      </c>
      <c r="O4" s="26"/>
      <c r="P4" s="26"/>
      <c r="Q4" s="26"/>
      <c r="R4" s="26"/>
      <c r="S4" s="26"/>
      <c r="T4" s="1" t="s">
        <v>65</v>
      </c>
      <c r="U4" s="26" t="s">
        <v>59</v>
      </c>
      <c r="V4" s="26"/>
    </row>
    <row r="5" spans="1:22" ht="45">
      <c r="A5" t="s">
        <v>66</v>
      </c>
      <c r="B5" s="16" t="s">
        <v>68</v>
      </c>
      <c r="C5" s="16" t="s">
        <v>69</v>
      </c>
      <c r="D5" s="16" t="s">
        <v>70</v>
      </c>
      <c r="E5" s="16" t="s">
        <v>71</v>
      </c>
      <c r="F5" s="16" t="s">
        <v>72</v>
      </c>
      <c r="G5" s="17" t="s">
        <v>73</v>
      </c>
      <c r="H5" s="16" t="s">
        <v>74</v>
      </c>
      <c r="I5" s="16" t="s">
        <v>75</v>
      </c>
      <c r="J5" s="16" t="s">
        <v>76</v>
      </c>
      <c r="K5" s="17" t="s">
        <v>77</v>
      </c>
      <c r="L5" s="16" t="s">
        <v>78</v>
      </c>
      <c r="M5" s="16" t="s">
        <v>79</v>
      </c>
      <c r="N5" s="16" t="s">
        <v>80</v>
      </c>
      <c r="O5" s="16" t="s">
        <v>81</v>
      </c>
      <c r="P5" s="16" t="s">
        <v>82</v>
      </c>
      <c r="Q5" s="17" t="s">
        <v>83</v>
      </c>
      <c r="R5" s="17" t="s">
        <v>84</v>
      </c>
      <c r="S5" s="17" t="s">
        <v>85</v>
      </c>
      <c r="T5" s="16" t="s">
        <v>86</v>
      </c>
      <c r="U5" s="16" t="s">
        <v>87</v>
      </c>
      <c r="V5" s="18" t="s">
        <v>88</v>
      </c>
    </row>
    <row r="6" spans="1:22">
      <c r="A6" s="9" t="s">
        <v>42</v>
      </c>
      <c r="B6" s="2">
        <f>'UEA30 (colored)'!B6</f>
        <v>32.319391634980988</v>
      </c>
      <c r="C6" s="2">
        <f>'UEA30 (colored)'!C6</f>
        <v>44.486692015209123</v>
      </c>
      <c r="D6" s="2">
        <f>'UEA30 (colored)'!D6</f>
        <v>52.851711026615966</v>
      </c>
      <c r="E6" s="3">
        <f>'UEA30 (colored)'!E6</f>
        <v>54.372623574144484</v>
      </c>
      <c r="F6" s="4">
        <f>'UEA30 (colored)'!F6</f>
        <v>60.076045627376431</v>
      </c>
      <c r="G6" s="2">
        <f>'UEA30 (colored)'!G6</f>
        <v>31.178707224334602</v>
      </c>
      <c r="H6" s="2">
        <f>'UEA30 (colored)'!H6</f>
        <v>32.319391634980988</v>
      </c>
      <c r="I6" s="2">
        <f>'UEA30 (colored)'!I6</f>
        <v>30.798479087452474</v>
      </c>
      <c r="J6" s="2">
        <f>'UEA30 (colored)'!J6</f>
        <v>33.460076045627375</v>
      </c>
      <c r="K6" s="2">
        <f>'UEA30 (colored)'!K6</f>
        <v>32.319391634980988</v>
      </c>
      <c r="L6" s="2">
        <f>'UEA30 (colored)'!L6</f>
        <v>31.939163498098861</v>
      </c>
      <c r="M6" s="2">
        <f>'UEA30 (colored)'!M6</f>
        <v>34.600760456273768</v>
      </c>
      <c r="N6" s="2">
        <f>'UEA30 (colored)'!N6</f>
        <v>33.840304182509506</v>
      </c>
      <c r="O6" s="2">
        <f>'UEA30 (colored)'!O6</f>
        <v>33.079847908745244</v>
      </c>
      <c r="P6" s="2">
        <f>'UEA30 (colored)'!P6</f>
        <v>43.346007604562736</v>
      </c>
      <c r="Q6" s="2">
        <f>'UEA30 (colored)'!Q6</f>
        <v>32.699619771863119</v>
      </c>
      <c r="R6" s="2">
        <f>'UEA30 (colored)'!R6</f>
        <v>32.319391634980988</v>
      </c>
      <c r="S6" s="2">
        <f>'UEA30 (colored)'!S6</f>
        <v>31.939163498098861</v>
      </c>
      <c r="T6" s="2">
        <f>'UEA30 (colored)'!T6</f>
        <v>28.897338403041822</v>
      </c>
      <c r="U6" s="2">
        <f>'UEA30 (colored)'!U6</f>
        <v>30.798479087452474</v>
      </c>
      <c r="V6" s="2">
        <f>'UEA30 (colored)'!V6</f>
        <v>42.585551330798474</v>
      </c>
    </row>
    <row r="7" spans="1:22">
      <c r="A7" s="9" t="s">
        <v>1</v>
      </c>
      <c r="B7" s="2">
        <f>'UEA30 (colored)'!B7</f>
        <v>52.86606129398411</v>
      </c>
      <c r="C7" s="2">
        <f>'UEA30 (colored)'!C7</f>
        <v>61.606129398410893</v>
      </c>
      <c r="D7" s="2">
        <f>'UEA30 (colored)'!D7</f>
        <v>61.379114642451761</v>
      </c>
      <c r="E7" s="2">
        <f>'UEA30 (colored)'!E7</f>
        <v>60.981838819523269</v>
      </c>
      <c r="F7" s="2">
        <f>'UEA30 (colored)'!F7</f>
        <v>61.293984108967081</v>
      </c>
      <c r="G7" s="2">
        <f>'UEA30 (colored)'!G7</f>
        <v>69.494892167990912</v>
      </c>
      <c r="H7" s="2">
        <f>'UEA30 (colored)'!H7</f>
        <v>68.473325766174796</v>
      </c>
      <c r="I7" s="2">
        <f>'UEA30 (colored)'!I7</f>
        <v>68.530079455164582</v>
      </c>
      <c r="J7" s="3">
        <f>'UEA30 (colored)'!J7</f>
        <v>70.147559591373437</v>
      </c>
      <c r="K7" s="2">
        <f>'UEA30 (colored)'!K7</f>
        <v>66.997729852440415</v>
      </c>
      <c r="L7" s="2">
        <f>'UEA30 (colored)'!L7</f>
        <v>66.969353007945514</v>
      </c>
      <c r="M7" s="2">
        <f>'UEA30 (colored)'!M7</f>
        <v>69.665153234960272</v>
      </c>
      <c r="N7" s="2">
        <f>'UEA30 (colored)'!N7</f>
        <v>69.892167990919404</v>
      </c>
      <c r="O7" s="2">
        <f>'UEA30 (colored)'!O7</f>
        <v>68.33144154370035</v>
      </c>
      <c r="P7" s="2">
        <f>'UEA30 (colored)'!P7</f>
        <v>69.636776390465386</v>
      </c>
      <c r="Q7" s="2">
        <f>'UEA30 (colored)'!Q7</f>
        <v>68.076049943246304</v>
      </c>
      <c r="R7" s="2">
        <f>'UEA30 (colored)'!R7</f>
        <v>68.615209988649255</v>
      </c>
      <c r="S7" s="2">
        <f>'UEA30 (colored)'!S7</f>
        <v>68.416572077185009</v>
      </c>
      <c r="T7" s="2">
        <f>'UEA30 (colored)'!T7</f>
        <v>63.791146424517599</v>
      </c>
      <c r="U7" s="4">
        <f>'UEA30 (colored)'!U7</f>
        <v>70.204313280363223</v>
      </c>
      <c r="V7" s="2">
        <f>'UEA30 (colored)'!V7</f>
        <v>69.29625425652668</v>
      </c>
    </row>
    <row r="8" spans="1:22">
      <c r="A8" s="9" t="s">
        <v>2</v>
      </c>
      <c r="B8" s="2">
        <f>'UEA30 (colored)'!B8</f>
        <v>60.705882352941174</v>
      </c>
      <c r="C8" s="2">
        <f>'UEA30 (colored)'!C8</f>
        <v>59.294117647058819</v>
      </c>
      <c r="D8" s="2">
        <f>'UEA30 (colored)'!D8</f>
        <v>56.000000000000007</v>
      </c>
      <c r="E8" s="2">
        <f>'UEA30 (colored)'!E8</f>
        <v>56.35294117647058</v>
      </c>
      <c r="F8" s="2">
        <f>'UEA30 (colored)'!F8</f>
        <v>53.529411764705884</v>
      </c>
      <c r="G8" s="2">
        <f>'UEA30 (colored)'!G8</f>
        <v>23.764705882352942</v>
      </c>
      <c r="H8" s="2">
        <f>'UEA30 (colored)'!H8</f>
        <v>25.058823529411768</v>
      </c>
      <c r="I8" s="2">
        <f>'UEA30 (colored)'!I8</f>
        <v>19.647058823529413</v>
      </c>
      <c r="J8" s="2">
        <f>'UEA30 (colored)'!J8</f>
        <v>37.529411764705884</v>
      </c>
      <c r="K8" s="2">
        <f>'UEA30 (colored)'!K8</f>
        <v>30.117647058823525</v>
      </c>
      <c r="L8" s="4">
        <f>'UEA30 (colored)'!L8</f>
        <v>62</v>
      </c>
      <c r="M8" s="2">
        <f>'UEA30 (colored)'!M8</f>
        <v>33.647058823529413</v>
      </c>
      <c r="N8" s="2">
        <f>'UEA30 (colored)'!N8</f>
        <v>33.411764705882355</v>
      </c>
      <c r="O8" s="2">
        <f>'UEA30 (colored)'!O8</f>
        <v>35.647058823529406</v>
      </c>
      <c r="P8" s="2">
        <f>'UEA30 (colored)'!P8</f>
        <v>30.352941176470587</v>
      </c>
      <c r="Q8" s="2">
        <f>'UEA30 (colored)'!Q8</f>
        <v>29.52941176470588</v>
      </c>
      <c r="R8" s="2">
        <f>'UEA30 (colored)'!R8</f>
        <v>34.117647058823529</v>
      </c>
      <c r="S8" s="2">
        <f>'UEA30 (colored)'!S8</f>
        <v>31.294117647058822</v>
      </c>
      <c r="T8" s="2">
        <f>'UEA30 (colored)'!T8</f>
        <v>58.705882352941174</v>
      </c>
      <c r="U8" s="2">
        <f>'UEA30 (colored)'!U8</f>
        <v>45.058823529411761</v>
      </c>
      <c r="V8" s="3">
        <f>'UEA30 (colored)'!V8</f>
        <v>60.82352941176471</v>
      </c>
    </row>
    <row r="9" spans="1:22">
      <c r="A9" s="9" t="s">
        <v>3</v>
      </c>
      <c r="B9" s="2">
        <f>'UEA30 (colored)'!B9</f>
        <v>71.707317073170728</v>
      </c>
      <c r="C9" s="2">
        <f>'UEA30 (colored)'!C9</f>
        <v>75.609756097560975</v>
      </c>
      <c r="D9" s="2">
        <f>'UEA30 (colored)'!D9</f>
        <v>78.536585365853668</v>
      </c>
      <c r="E9" s="2">
        <f>'UEA30 (colored)'!E9</f>
        <v>76.585365853658544</v>
      </c>
      <c r="F9" s="2">
        <f>'UEA30 (colored)'!F9</f>
        <v>77.073170731707322</v>
      </c>
      <c r="G9" s="2">
        <f>'UEA30 (colored)'!G9</f>
        <v>76.585365853658544</v>
      </c>
      <c r="H9" s="2">
        <f>'UEA30 (colored)'!H9</f>
        <v>77.560975609756099</v>
      </c>
      <c r="I9" s="2">
        <f>'UEA30 (colored)'!I9</f>
        <v>79.024390243902445</v>
      </c>
      <c r="J9" s="4">
        <f>'UEA30 (colored)'!J9</f>
        <v>83.902439024390247</v>
      </c>
      <c r="K9" s="2">
        <f>'UEA30 (colored)'!K9</f>
        <v>78.048780487804876</v>
      </c>
      <c r="L9" s="2">
        <f>'UEA30 (colored)'!L9</f>
        <v>79.512195121951223</v>
      </c>
      <c r="M9" s="3">
        <f>'UEA30 (colored)'!M9</f>
        <v>80.487804878048792</v>
      </c>
      <c r="N9" s="2">
        <f>'UEA30 (colored)'!N9</f>
        <v>78.048780487804876</v>
      </c>
      <c r="O9" s="2">
        <f>'UEA30 (colored)'!O9</f>
        <v>78.536585365853668</v>
      </c>
      <c r="P9" s="2">
        <f>'UEA30 (colored)'!P9</f>
        <v>79.024390243902445</v>
      </c>
      <c r="Q9" s="2">
        <f>'UEA30 (colored)'!Q9</f>
        <v>73.658536585365852</v>
      </c>
      <c r="R9" s="2">
        <f>'UEA30 (colored)'!R9</f>
        <v>79.024390243902445</v>
      </c>
      <c r="S9" s="2">
        <f>'UEA30 (colored)'!S9</f>
        <v>78.048780487804876</v>
      </c>
      <c r="T9" s="3">
        <f>'UEA30 (colored)'!T9</f>
        <v>80.487804878048792</v>
      </c>
      <c r="U9" s="2">
        <f>'UEA30 (colored)'!U9</f>
        <v>78.536585365853668</v>
      </c>
      <c r="V9" s="2">
        <f>'UEA30 (colored)'!V9</f>
        <v>80</v>
      </c>
    </row>
    <row r="10" spans="1:22">
      <c r="A10" s="9" t="s">
        <v>43</v>
      </c>
      <c r="B10" s="2">
        <f>'UEA30 (colored)'!B10</f>
        <v>95.945945945945937</v>
      </c>
      <c r="C10" s="2">
        <f>'UEA30 (colored)'!C10</f>
        <v>83.78378378378379</v>
      </c>
      <c r="D10" s="2">
        <f>'UEA30 (colored)'!D10</f>
        <v>98.378378378378386</v>
      </c>
      <c r="E10" s="2">
        <f>'UEA30 (colored)'!E10</f>
        <v>97.837837837837839</v>
      </c>
      <c r="F10" s="2">
        <f>'UEA30 (colored)'!F10</f>
        <v>98.378378378378386</v>
      </c>
      <c r="G10" s="2">
        <f>'UEA30 (colored)'!G10</f>
        <v>96.486486486486484</v>
      </c>
      <c r="H10" s="2">
        <f>'UEA30 (colored)'!H10</f>
        <v>96.756756756756758</v>
      </c>
      <c r="I10" s="2">
        <f>'UEA30 (colored)'!I10</f>
        <v>95.945945945945937</v>
      </c>
      <c r="J10" s="2">
        <f>'UEA30 (colored)'!J10</f>
        <v>98.648648648648646</v>
      </c>
      <c r="K10" s="2">
        <f>'UEA30 (colored)'!K10</f>
        <v>98.648648648648646</v>
      </c>
      <c r="L10" s="2">
        <f>'UEA30 (colored)'!L10</f>
        <v>98.918918918918919</v>
      </c>
      <c r="M10" s="3">
        <f>'UEA30 (colored)'!M10</f>
        <v>99.189189189189193</v>
      </c>
      <c r="N10" s="2">
        <f>'UEA30 (colored)'!N10</f>
        <v>97.567567567567565</v>
      </c>
      <c r="O10" s="2">
        <f>'UEA30 (colored)'!O10</f>
        <v>98.378378378378386</v>
      </c>
      <c r="P10" s="2">
        <f>'UEA30 (colored)'!P10</f>
        <v>98.378378378378386</v>
      </c>
      <c r="Q10" s="2">
        <f>'UEA30 (colored)'!Q10</f>
        <v>97.027027027027017</v>
      </c>
      <c r="R10" s="2">
        <f>'UEA30 (colored)'!R10</f>
        <v>98.108108108108098</v>
      </c>
      <c r="S10" s="2">
        <f>'UEA30 (colored)'!S10</f>
        <v>98.108108108108098</v>
      </c>
      <c r="T10" s="4">
        <f>'UEA30 (colored)'!T10</f>
        <v>99.729729729729726</v>
      </c>
      <c r="U10" s="2">
        <f>'UEA30 (colored)'!U10</f>
        <v>98.378378378378386</v>
      </c>
      <c r="V10" s="2">
        <f>'UEA30 (colored)'!V10</f>
        <v>98.648648648648646</v>
      </c>
    </row>
    <row r="11" spans="1:22">
      <c r="A11" s="9" t="s">
        <v>44</v>
      </c>
      <c r="B11" s="2">
        <f>'UEA30 (colored)'!B11</f>
        <v>71.098265895953759</v>
      </c>
      <c r="C11" s="2">
        <f>'UEA30 (colored)'!C11</f>
        <v>84.393063583815035</v>
      </c>
      <c r="D11" s="3">
        <f>'UEA30 (colored)'!D11</f>
        <v>97.687861271676297</v>
      </c>
      <c r="E11" s="4">
        <f>'UEA30 (colored)'!E11</f>
        <v>98.265895953757223</v>
      </c>
      <c r="F11" s="2">
        <f>'UEA30 (colored)'!F11</f>
        <v>82.658959537572258</v>
      </c>
      <c r="G11" s="2">
        <f>'UEA30 (colored)'!G11</f>
        <v>82.658959537572258</v>
      </c>
      <c r="H11" s="2">
        <f>'UEA30 (colored)'!H11</f>
        <v>87.861271676300575</v>
      </c>
      <c r="I11" s="2">
        <f>'UEA30 (colored)'!I11</f>
        <v>82.080924855491332</v>
      </c>
      <c r="J11" s="2">
        <f>'UEA30 (colored)'!J11</f>
        <v>87.861271676300575</v>
      </c>
      <c r="K11" s="2">
        <f>'UEA30 (colored)'!K11</f>
        <v>86.705202312138724</v>
      </c>
      <c r="L11" s="2">
        <f>'UEA30 (colored)'!L11</f>
        <v>89.017341040462426</v>
      </c>
      <c r="M11" s="2">
        <f>'UEA30 (colored)'!M11</f>
        <v>89.017341040462426</v>
      </c>
      <c r="N11" s="2">
        <f>'UEA30 (colored)'!N11</f>
        <v>89.017341040462426</v>
      </c>
      <c r="O11" s="2">
        <f>'UEA30 (colored)'!O11</f>
        <v>87.861271676300575</v>
      </c>
      <c r="P11" s="2">
        <f>'UEA30 (colored)'!P11</f>
        <v>89.595375722543352</v>
      </c>
      <c r="Q11" s="2">
        <f>'UEA30 (colored)'!Q11</f>
        <v>89.017341040462426</v>
      </c>
      <c r="R11" s="2">
        <f>'UEA30 (colored)'!R11</f>
        <v>88.439306358381501</v>
      </c>
      <c r="S11" s="2">
        <f>'UEA30 (colored)'!S11</f>
        <v>91.329479768786129</v>
      </c>
      <c r="T11" s="2">
        <f>'UEA30 (colored)'!T11</f>
        <v>86.127167630057798</v>
      </c>
      <c r="U11" s="2">
        <f>'UEA30 (colored)'!U11</f>
        <v>90.173410404624278</v>
      </c>
      <c r="V11" s="2">
        <f>'UEA30 (colored)'!V11</f>
        <v>85.549132947976886</v>
      </c>
    </row>
    <row r="12" spans="1:22">
      <c r="A12" s="9" t="s">
        <v>45</v>
      </c>
      <c r="B12" s="2">
        <f>'UEA30 (colored)'!B12</f>
        <v>77.474402730375431</v>
      </c>
      <c r="C12" s="2">
        <f>'UEA30 (colored)'!C12</f>
        <v>85.665529010238899</v>
      </c>
      <c r="D12" s="2">
        <f>'UEA30 (colored)'!D12</f>
        <v>89.078498293515366</v>
      </c>
      <c r="E12" s="2">
        <f>'UEA30 (colored)'!E12</f>
        <v>86.689419795221852</v>
      </c>
      <c r="F12" s="4">
        <f>'UEA30 (colored)'!F12</f>
        <v>94.88054607508532</v>
      </c>
      <c r="G12" s="2">
        <f>'UEA30 (colored)'!G12</f>
        <v>92.832764505119457</v>
      </c>
      <c r="H12" s="2">
        <f>'UEA30 (colored)'!H12</f>
        <v>92.832764505119457</v>
      </c>
      <c r="I12" s="2">
        <f>'UEA30 (colored)'!I12</f>
        <v>78.839590443686006</v>
      </c>
      <c r="J12" s="2">
        <f>'UEA30 (colored)'!J12</f>
        <v>92.150170648464169</v>
      </c>
      <c r="K12" s="2">
        <f>'UEA30 (colored)'!K12</f>
        <v>93.515358361774744</v>
      </c>
      <c r="L12" s="2">
        <f>'UEA30 (colored)'!L12</f>
        <v>89.761092150170654</v>
      </c>
      <c r="M12" s="2">
        <f>'UEA30 (colored)'!M12</f>
        <v>92.150170648464169</v>
      </c>
      <c r="N12" s="2">
        <f>'UEA30 (colored)'!N12</f>
        <v>75.085324232081902</v>
      </c>
      <c r="O12" s="2">
        <f>'UEA30 (colored)'!O12</f>
        <v>92.150170648464169</v>
      </c>
      <c r="P12" s="3">
        <f>'UEA30 (colored)'!P12</f>
        <v>93.856655290102381</v>
      </c>
      <c r="Q12" s="2">
        <f>'UEA30 (colored)'!Q12</f>
        <v>89.078498293515366</v>
      </c>
      <c r="R12" s="2">
        <f>'UEA30 (colored)'!R12</f>
        <v>93.174061433447093</v>
      </c>
      <c r="S12" s="3">
        <f>'UEA30 (colored)'!S12</f>
        <v>93.856655290102381</v>
      </c>
      <c r="T12" s="2">
        <f>'UEA30 (colored)'!T12</f>
        <v>90.443686006825942</v>
      </c>
      <c r="U12" s="2">
        <f>'UEA30 (colored)'!U12</f>
        <v>92.832764505119457</v>
      </c>
      <c r="V12" s="2">
        <f>'UEA30 (colored)'!V12</f>
        <v>92.491467576791806</v>
      </c>
    </row>
    <row r="13" spans="1:22">
      <c r="A13" s="9" t="s">
        <v>46</v>
      </c>
      <c r="B13" s="2">
        <f>'UEA30 (colored)'!B13</f>
        <v>53.888888888888886</v>
      </c>
      <c r="C13" s="2">
        <f>'UEA30 (colored)'!C13</f>
        <v>55.555555555555557</v>
      </c>
      <c r="D13" s="2">
        <f>'UEA30 (colored)'!D13</f>
        <v>54.444444444444443</v>
      </c>
      <c r="E13" s="2">
        <f>'UEA30 (colored)'!E13</f>
        <v>58.888888888888893</v>
      </c>
      <c r="F13" s="2">
        <f>'UEA30 (colored)'!F13</f>
        <v>55.000000000000007</v>
      </c>
      <c r="G13" s="2">
        <f>'UEA30 (colored)'!G13</f>
        <v>57.222222222222221</v>
      </c>
      <c r="H13" s="2">
        <f>'UEA30 (colored)'!H13</f>
        <v>59.444444444444443</v>
      </c>
      <c r="I13" s="2">
        <f>'UEA30 (colored)'!I13</f>
        <v>58.333333333333336</v>
      </c>
      <c r="J13" s="2">
        <f>'UEA30 (colored)'!J13</f>
        <v>60</v>
      </c>
      <c r="K13" s="2">
        <f>'UEA30 (colored)'!K13</f>
        <v>60</v>
      </c>
      <c r="L13" s="3">
        <f>'UEA30 (colored)'!L13</f>
        <v>63.888888888888886</v>
      </c>
      <c r="M13" s="2">
        <f>'UEA30 (colored)'!M13</f>
        <v>60.55555555555555</v>
      </c>
      <c r="N13" s="2">
        <f>'UEA30 (colored)'!N13</f>
        <v>59.444444444444443</v>
      </c>
      <c r="O13" s="2">
        <f>'UEA30 (colored)'!O13</f>
        <v>60</v>
      </c>
      <c r="P13" s="2">
        <f>'UEA30 (colored)'!P13</f>
        <v>61.666666666666671</v>
      </c>
      <c r="Q13" s="2">
        <f>'UEA30 (colored)'!Q13</f>
        <v>61.666666666666671</v>
      </c>
      <c r="R13" s="2">
        <f>'UEA30 (colored)'!R13</f>
        <v>60.55555555555555</v>
      </c>
      <c r="S13" s="2">
        <f>'UEA30 (colored)'!S13</f>
        <v>58.888888888888893</v>
      </c>
      <c r="T13" s="2">
        <f>'UEA30 (colored)'!T13</f>
        <v>58.333333333333336</v>
      </c>
      <c r="U13" s="2">
        <f>'UEA30 (colored)'!U13</f>
        <v>62.222222222222221</v>
      </c>
      <c r="V13" s="4">
        <f>'UEA30 (colored)'!V13</f>
        <v>65</v>
      </c>
    </row>
    <row r="14" spans="1:22">
      <c r="A14" s="9" t="s">
        <v>47</v>
      </c>
      <c r="B14" s="2">
        <f>'UEA30 (colored)'!B14</f>
        <v>97.226011823556163</v>
      </c>
      <c r="C14" s="2">
        <f>'UEA30 (colored)'!C14</f>
        <v>99.226921327876312</v>
      </c>
      <c r="D14" s="2">
        <f>'UEA30 (colored)'!D14</f>
        <v>99.13597089586176</v>
      </c>
      <c r="E14" s="2">
        <f>'UEA30 (colored)'!E14</f>
        <v>99.13597089586176</v>
      </c>
      <c r="F14" s="2">
        <f>'UEA30 (colored)'!F14</f>
        <v>99.045020463847194</v>
      </c>
      <c r="G14" s="2">
        <f>'UEA30 (colored)'!G14</f>
        <v>96.953160527512509</v>
      </c>
      <c r="H14" s="2">
        <f>'UEA30 (colored)'!H14</f>
        <v>98.226466575716231</v>
      </c>
      <c r="I14" s="2">
        <f>'UEA30 (colored)'!I14</f>
        <v>99.454297407912691</v>
      </c>
      <c r="J14" s="2">
        <f>'UEA30 (colored)'!J14</f>
        <v>99.545247839927242</v>
      </c>
      <c r="K14" s="2">
        <f>'UEA30 (colored)'!K14</f>
        <v>99.499772623919966</v>
      </c>
      <c r="L14" s="2">
        <f>'UEA30 (colored)'!L14</f>
        <v>98.044565711687127</v>
      </c>
      <c r="M14" s="2">
        <f>'UEA30 (colored)'!M14</f>
        <v>99.545247839927242</v>
      </c>
      <c r="N14" s="2">
        <f>'UEA30 (colored)'!N14</f>
        <v>99.454297407912691</v>
      </c>
      <c r="O14" s="2">
        <f>'UEA30 (colored)'!O14</f>
        <v>98.999545247839933</v>
      </c>
      <c r="P14" s="2">
        <f>'UEA30 (colored)'!P14</f>
        <v>98.863119599818091</v>
      </c>
      <c r="Q14" s="2">
        <f>'UEA30 (colored)'!Q14</f>
        <v>98.817644383810816</v>
      </c>
      <c r="R14" s="2">
        <f>'UEA30 (colored)'!R14</f>
        <v>99.590723055934518</v>
      </c>
      <c r="S14" s="2">
        <f>'UEA30 (colored)'!S14</f>
        <v>99.317871759890863</v>
      </c>
      <c r="T14" s="3">
        <f>'UEA30 (colored)'!T14</f>
        <v>99.863574351978173</v>
      </c>
      <c r="U14" s="2">
        <f>'UEA30 (colored)'!U14</f>
        <v>95.8162801273306</v>
      </c>
      <c r="V14" s="4">
        <f>'UEA30 (colored)'!V14</f>
        <v>99.954524783992724</v>
      </c>
    </row>
    <row r="15" spans="1:22">
      <c r="A15" s="9" t="s">
        <v>48</v>
      </c>
      <c r="B15" s="2">
        <f>'UEA30 (colored)'!B15</f>
        <v>90.3125</v>
      </c>
      <c r="C15" s="2">
        <f>'UEA30 (colored)'!C15</f>
        <v>94.0625</v>
      </c>
      <c r="D15" s="2">
        <f>'UEA30 (colored)'!D15</f>
        <v>94.0625</v>
      </c>
      <c r="E15" s="3">
        <f>'UEA30 (colored)'!E15</f>
        <v>94.375</v>
      </c>
      <c r="F15" s="2">
        <f>'UEA30 (colored)'!F15</f>
        <v>94.0625</v>
      </c>
      <c r="G15" s="2">
        <f>'UEA30 (colored)'!G15</f>
        <v>82.8125</v>
      </c>
      <c r="H15" s="2">
        <f>'UEA30 (colored)'!H15</f>
        <v>89.0625</v>
      </c>
      <c r="I15" s="2">
        <f>'UEA30 (colored)'!I15</f>
        <v>83.125</v>
      </c>
      <c r="J15" s="2">
        <f>'UEA30 (colored)'!J15</f>
        <v>88.4375</v>
      </c>
      <c r="K15" s="2">
        <f>'UEA30 (colored)'!K15</f>
        <v>88.4375</v>
      </c>
      <c r="L15" s="3">
        <f>'UEA30 (colored)'!L15</f>
        <v>94.375</v>
      </c>
      <c r="M15" s="2">
        <f>'UEA30 (colored)'!M15</f>
        <v>90.625</v>
      </c>
      <c r="N15" s="2">
        <f>'UEA30 (colored)'!N15</f>
        <v>79.6875</v>
      </c>
      <c r="O15" s="2">
        <f>'UEA30 (colored)'!O15</f>
        <v>89.6875</v>
      </c>
      <c r="P15" s="2">
        <f>'UEA30 (colored)'!P15</f>
        <v>88.4375</v>
      </c>
      <c r="Q15" s="2">
        <f>'UEA30 (colored)'!Q15</f>
        <v>89.375</v>
      </c>
      <c r="R15" s="2">
        <f>'UEA30 (colored)'!R15</f>
        <v>89.0625</v>
      </c>
      <c r="S15" s="2">
        <f>'UEA30 (colored)'!S15</f>
        <v>90</v>
      </c>
      <c r="T15" s="2">
        <f>'UEA30 (colored)'!T15</f>
        <v>88.4375</v>
      </c>
      <c r="U15" s="4">
        <f>'UEA30 (colored)'!U15</f>
        <v>95.3125</v>
      </c>
      <c r="V15" s="2">
        <f>'UEA30 (colored)'!V15</f>
        <v>93.4375</v>
      </c>
    </row>
    <row r="16" spans="1:22">
      <c r="A16" s="9" t="s">
        <v>4</v>
      </c>
      <c r="B16" s="2">
        <f>'UEA30 (colored)'!B16</f>
        <v>98.666666666666671</v>
      </c>
      <c r="C16" s="4">
        <f>'UEA30 (colored)'!C16</f>
        <v>99.333333333333329</v>
      </c>
      <c r="D16" s="4">
        <f>'UEA30 (colored)'!D16</f>
        <v>99.333333333333329</v>
      </c>
      <c r="E16" s="4">
        <f>'UEA30 (colored)'!E16</f>
        <v>99.333333333333329</v>
      </c>
      <c r="F16" s="4">
        <f>'UEA30 (colored)'!F16</f>
        <v>99.333333333333329</v>
      </c>
      <c r="G16" s="2">
        <f>'UEA30 (colored)'!G16</f>
        <v>97.666666666666671</v>
      </c>
      <c r="H16" s="2">
        <f>'UEA30 (colored)'!H16</f>
        <v>98.333333333333329</v>
      </c>
      <c r="I16" s="3">
        <f>'UEA30 (colored)'!I16</f>
        <v>99</v>
      </c>
      <c r="J16" s="2">
        <f>'UEA30 (colored)'!J16</f>
        <v>98.666666666666671</v>
      </c>
      <c r="K16" s="2">
        <f>'UEA30 (colored)'!K16</f>
        <v>98.666666666666671</v>
      </c>
      <c r="L16" s="4">
        <f>'UEA30 (colored)'!L16</f>
        <v>99.333333333333329</v>
      </c>
      <c r="M16" s="3">
        <f>'UEA30 (colored)'!M16</f>
        <v>99</v>
      </c>
      <c r="N16" s="2">
        <f>'UEA30 (colored)'!N16</f>
        <v>92.333333333333329</v>
      </c>
      <c r="O16" s="2">
        <f>'UEA30 (colored)'!O16</f>
        <v>98.666666666666671</v>
      </c>
      <c r="P16" s="2">
        <f>'UEA30 (colored)'!P16</f>
        <v>98.666666666666671</v>
      </c>
      <c r="Q16" s="2">
        <f>'UEA30 (colored)'!Q16</f>
        <v>98.666666666666671</v>
      </c>
      <c r="R16" s="2">
        <f>'UEA30 (colored)'!R16</f>
        <v>98.666666666666671</v>
      </c>
      <c r="S16" s="3">
        <f>'UEA30 (colored)'!S16</f>
        <v>99</v>
      </c>
      <c r="T16" s="3">
        <f>'UEA30 (colored)'!T16</f>
        <v>99</v>
      </c>
      <c r="U16" s="4">
        <f>'UEA30 (colored)'!U16</f>
        <v>99.333333333333329</v>
      </c>
      <c r="V16" s="4">
        <f>'UEA30 (colored)'!V16</f>
        <v>99.333333333333329</v>
      </c>
    </row>
    <row r="17" spans="1:22">
      <c r="A17" s="9" t="s">
        <v>5</v>
      </c>
      <c r="B17" s="2">
        <f>'UEA30 (colored)'!B17</f>
        <v>20</v>
      </c>
      <c r="C17" s="2">
        <f>'UEA30 (colored)'!C17</f>
        <v>6.666666666666667</v>
      </c>
      <c r="D17" s="2">
        <f>'UEA30 (colored)'!D17</f>
        <v>20</v>
      </c>
      <c r="E17" s="2">
        <f>'UEA30 (colored)'!E17</f>
        <v>26.666666666666668</v>
      </c>
      <c r="F17" s="2">
        <f>'UEA30 (colored)'!F17</f>
        <v>6.666666666666667</v>
      </c>
      <c r="G17" s="2">
        <f>'UEA30 (colored)'!G17</f>
        <v>53.333333333333336</v>
      </c>
      <c r="H17" s="3">
        <f>'UEA30 (colored)'!H17</f>
        <v>73.333333333333329</v>
      </c>
      <c r="I17" s="2">
        <f>'UEA30 (colored)'!I17</f>
        <v>60</v>
      </c>
      <c r="J17" s="2">
        <f>'UEA30 (colored)'!J17</f>
        <v>66.666666666666657</v>
      </c>
      <c r="K17" s="3">
        <f>'UEA30 (colored)'!K17</f>
        <v>73.333333333333329</v>
      </c>
      <c r="L17" s="2">
        <f>'UEA30 (colored)'!L17</f>
        <v>66.666666666666657</v>
      </c>
      <c r="M17" s="2">
        <f>'UEA30 (colored)'!M17</f>
        <v>66.666666666666657</v>
      </c>
      <c r="N17" s="3">
        <f>'UEA30 (colored)'!N17</f>
        <v>73.333333333333329</v>
      </c>
      <c r="O17" s="4">
        <f>'UEA30 (colored)'!O17</f>
        <v>80</v>
      </c>
      <c r="P17" s="3">
        <f>'UEA30 (colored)'!P17</f>
        <v>73.333333333333329</v>
      </c>
      <c r="Q17" s="4">
        <f>'UEA30 (colored)'!Q17</f>
        <v>80</v>
      </c>
      <c r="R17" s="2">
        <f>'UEA30 (colored)'!R17</f>
        <v>66.666666666666657</v>
      </c>
      <c r="S17" s="2">
        <f>'UEA30 (colored)'!S17</f>
        <v>66.666666666666657</v>
      </c>
      <c r="T17" s="2">
        <f>'UEA30 (colored)'!T17</f>
        <v>46.666666666666664</v>
      </c>
      <c r="U17" s="2">
        <f>'UEA30 (colored)'!U17</f>
        <v>66.666666666666657</v>
      </c>
      <c r="V17" s="2">
        <f>'UEA30 (colored)'!V17</f>
        <v>53.333333333333336</v>
      </c>
    </row>
    <row r="18" spans="1:22">
      <c r="A18" s="9" t="s">
        <v>6</v>
      </c>
      <c r="B18" s="3">
        <f>'UEA30 (colored)'!B18</f>
        <v>97.5</v>
      </c>
      <c r="C18" s="4">
        <f>'UEA30 (colored)'!C18</f>
        <v>100</v>
      </c>
      <c r="D18" s="4">
        <f>'UEA30 (colored)'!D18</f>
        <v>100</v>
      </c>
      <c r="E18" s="4">
        <f>'UEA30 (colored)'!E18</f>
        <v>100</v>
      </c>
      <c r="F18" s="4">
        <f>'UEA30 (colored)'!F18</f>
        <v>100</v>
      </c>
      <c r="G18" s="2">
        <f>'UEA30 (colored)'!G18</f>
        <v>87.5</v>
      </c>
      <c r="H18" s="4">
        <f>'UEA30 (colored)'!H18</f>
        <v>100</v>
      </c>
      <c r="I18" s="4">
        <f>'UEA30 (colored)'!I18</f>
        <v>100</v>
      </c>
      <c r="J18" s="4">
        <f>'UEA30 (colored)'!J18</f>
        <v>100</v>
      </c>
      <c r="K18" s="4">
        <f>'UEA30 (colored)'!K18</f>
        <v>100</v>
      </c>
      <c r="L18" s="4">
        <f>'UEA30 (colored)'!L18</f>
        <v>100</v>
      </c>
      <c r="M18" s="4">
        <f>'UEA30 (colored)'!M18</f>
        <v>100</v>
      </c>
      <c r="N18" s="2">
        <f>'UEA30 (colored)'!N18</f>
        <v>95</v>
      </c>
      <c r="O18" s="4">
        <f>'UEA30 (colored)'!O18</f>
        <v>100</v>
      </c>
      <c r="P18" s="4">
        <f>'UEA30 (colored)'!P18</f>
        <v>100</v>
      </c>
      <c r="Q18" s="2">
        <f>'UEA30 (colored)'!Q18</f>
        <v>85</v>
      </c>
      <c r="R18" s="4">
        <f>'UEA30 (colored)'!R18</f>
        <v>100</v>
      </c>
      <c r="S18" s="3">
        <f>'UEA30 (colored)'!S18</f>
        <v>97.5</v>
      </c>
      <c r="T18" s="4">
        <f>'UEA30 (colored)'!T18</f>
        <v>100</v>
      </c>
      <c r="U18" s="4">
        <f>'UEA30 (colored)'!U18</f>
        <v>100</v>
      </c>
      <c r="V18" s="4">
        <f>'UEA30 (colored)'!V18</f>
        <v>100</v>
      </c>
    </row>
    <row r="19" spans="1:22">
      <c r="A19" s="9" t="s">
        <v>49</v>
      </c>
      <c r="B19" s="2">
        <f>'UEA30 (colored)'!B19</f>
        <v>98.816155988857929</v>
      </c>
      <c r="C19" s="2">
        <f>'UEA30 (colored)'!C19</f>
        <v>99.30362116991644</v>
      </c>
      <c r="D19" s="2">
        <f>'UEA30 (colored)'!D19</f>
        <v>99.30362116991644</v>
      </c>
      <c r="E19" s="2">
        <f>'UEA30 (colored)'!E19</f>
        <v>99.164345403899716</v>
      </c>
      <c r="F19" s="2">
        <f>'UEA30 (colored)'!F19</f>
        <v>99.373259052924794</v>
      </c>
      <c r="G19" s="2">
        <f>'UEA30 (colored)'!G19</f>
        <v>98.119777158774369</v>
      </c>
      <c r="H19" s="2">
        <f>'UEA30 (colored)'!H19</f>
        <v>98.955431754874652</v>
      </c>
      <c r="I19" s="2">
        <f>'UEA30 (colored)'!I19</f>
        <v>97.98050139275766</v>
      </c>
      <c r="J19" s="2">
        <f>'UEA30 (colored)'!J19</f>
        <v>98.746518105849574</v>
      </c>
      <c r="K19" s="2">
        <f>'UEA30 (colored)'!K19</f>
        <v>99.30362116991644</v>
      </c>
      <c r="L19" s="2">
        <f>'UEA30 (colored)'!L19</f>
        <v>99.164345403899716</v>
      </c>
      <c r="M19" s="2">
        <f>'UEA30 (colored)'!M19</f>
        <v>99.373259052924794</v>
      </c>
      <c r="N19" s="2">
        <f>'UEA30 (colored)'!N19</f>
        <v>97.284122562674085</v>
      </c>
      <c r="O19" s="2">
        <f>'UEA30 (colored)'!O19</f>
        <v>98.467966573816156</v>
      </c>
      <c r="P19" s="2">
        <f>'UEA30 (colored)'!P19</f>
        <v>98.955431754874652</v>
      </c>
      <c r="Q19" s="2">
        <f>'UEA30 (colored)'!Q19</f>
        <v>98.398328690807801</v>
      </c>
      <c r="R19" s="2">
        <f>'UEA30 (colored)'!R19</f>
        <v>99.373259052924794</v>
      </c>
      <c r="S19" s="2">
        <f>'UEA30 (colored)'!S19</f>
        <v>98.885793871866284</v>
      </c>
      <c r="T19" s="4">
        <f>'UEA30 (colored)'!T19</f>
        <v>99.791086350974936</v>
      </c>
      <c r="U19" s="2">
        <f>'UEA30 (colored)'!U19</f>
        <v>99.512534818941504</v>
      </c>
      <c r="V19" s="3">
        <f>'UEA30 (colored)'!V19</f>
        <v>99.721448467966582</v>
      </c>
    </row>
    <row r="20" spans="1:22">
      <c r="A20" s="9" t="s">
        <v>7</v>
      </c>
      <c r="B20" s="4">
        <f>'UEA30 (colored)'!B20</f>
        <v>100</v>
      </c>
      <c r="C20" s="4">
        <f>'UEA30 (colored)'!C20</f>
        <v>100</v>
      </c>
      <c r="D20" s="4">
        <f>'UEA30 (colored)'!D20</f>
        <v>100</v>
      </c>
      <c r="E20" s="4">
        <f>'UEA30 (colored)'!E20</f>
        <v>100</v>
      </c>
      <c r="F20" s="3">
        <f>'UEA30 (colored)'!F20</f>
        <v>98.611111111111114</v>
      </c>
      <c r="G20" s="2">
        <f>'UEA30 (colored)'!G20</f>
        <v>91.666666666666657</v>
      </c>
      <c r="H20" s="2">
        <f>'UEA30 (colored)'!H20</f>
        <v>93.055555555555557</v>
      </c>
      <c r="I20" s="2">
        <f>'UEA30 (colored)'!I20</f>
        <v>97.222222222222214</v>
      </c>
      <c r="J20" s="2">
        <f>'UEA30 (colored)'!J20</f>
        <v>97.222222222222214</v>
      </c>
      <c r="K20" s="2">
        <f>'UEA30 (colored)'!K20</f>
        <v>97.222222222222214</v>
      </c>
      <c r="L20" s="2">
        <f>'UEA30 (colored)'!L20</f>
        <v>91.666666666666657</v>
      </c>
      <c r="M20" s="3">
        <f>'UEA30 (colored)'!M20</f>
        <v>98.611111111111114</v>
      </c>
      <c r="N20" s="2">
        <f>'UEA30 (colored)'!N20</f>
        <v>90.277777777777786</v>
      </c>
      <c r="O20" s="3">
        <f>'UEA30 (colored)'!O20</f>
        <v>98.611111111111114</v>
      </c>
      <c r="P20" s="2">
        <f>'UEA30 (colored)'!P20</f>
        <v>97.222222222222214</v>
      </c>
      <c r="Q20" s="2">
        <f>'UEA30 (colored)'!Q20</f>
        <v>97.222222222222214</v>
      </c>
      <c r="R20" s="2">
        <f>'UEA30 (colored)'!R20</f>
        <v>97.222222222222214</v>
      </c>
      <c r="S20" s="2">
        <f>'UEA30 (colored)'!S20</f>
        <v>97.222222222222214</v>
      </c>
      <c r="T20" s="4">
        <f>'UEA30 (colored)'!T20</f>
        <v>100</v>
      </c>
      <c r="U20" s="4">
        <f>'UEA30 (colored)'!U20</f>
        <v>100</v>
      </c>
      <c r="V20" s="4">
        <f>'UEA30 (colored)'!V20</f>
        <v>100</v>
      </c>
    </row>
    <row r="21" spans="1:22">
      <c r="A21" s="9" t="s">
        <v>8</v>
      </c>
      <c r="B21" s="2">
        <f>'UEA30 (colored)'!B21</f>
        <v>57.999999999999993</v>
      </c>
      <c r="C21" s="2">
        <f>'UEA30 (colored)'!C21</f>
        <v>52</v>
      </c>
      <c r="D21" s="2">
        <f>'UEA30 (colored)'!D21</f>
        <v>70</v>
      </c>
      <c r="E21" s="2">
        <f>'UEA30 (colored)'!E21</f>
        <v>68</v>
      </c>
      <c r="F21" s="2">
        <f>'UEA30 (colored)'!F21</f>
        <v>60</v>
      </c>
      <c r="G21" s="2">
        <f>'UEA30 (colored)'!G21</f>
        <v>66</v>
      </c>
      <c r="H21" s="2">
        <f>'UEA30 (colored)'!H21</f>
        <v>56.000000000000007</v>
      </c>
      <c r="I21" s="2">
        <f>'UEA30 (colored)'!I21</f>
        <v>68</v>
      </c>
      <c r="J21" s="2">
        <f>'UEA30 (colored)'!J21</f>
        <v>68</v>
      </c>
      <c r="K21" s="2">
        <f>'UEA30 (colored)'!K21</f>
        <v>66</v>
      </c>
      <c r="L21" s="3">
        <f>'UEA30 (colored)'!L21</f>
        <v>74</v>
      </c>
      <c r="M21" s="3">
        <f>'UEA30 (colored)'!M21</f>
        <v>74</v>
      </c>
      <c r="N21" s="2">
        <f>'UEA30 (colored)'!N21</f>
        <v>42</v>
      </c>
      <c r="O21" s="2">
        <f>'UEA30 (colored)'!O21</f>
        <v>42</v>
      </c>
      <c r="P21" s="2">
        <f>'UEA30 (colored)'!P21</f>
        <v>72</v>
      </c>
      <c r="Q21" s="2">
        <f>'UEA30 (colored)'!Q21</f>
        <v>40</v>
      </c>
      <c r="R21" s="2">
        <f>'UEA30 (colored)'!R21</f>
        <v>66</v>
      </c>
      <c r="S21" s="2">
        <f>'UEA30 (colored)'!S21</f>
        <v>60</v>
      </c>
      <c r="T21" s="4">
        <f>'UEA30 (colored)'!T21</f>
        <v>76</v>
      </c>
      <c r="U21" s="2">
        <f>'UEA30 (colored)'!U21</f>
        <v>50</v>
      </c>
      <c r="V21" s="2">
        <f>'UEA30 (colored)'!V21</f>
        <v>70</v>
      </c>
    </row>
    <row r="22" spans="1:22">
      <c r="A22" s="9" t="s">
        <v>9</v>
      </c>
      <c r="B22" s="2">
        <f>'UEA30 (colored)'!B22</f>
        <v>61.832061068702295</v>
      </c>
      <c r="C22" s="2">
        <f>'UEA30 (colored)'!C22</f>
        <v>91.603053435114504</v>
      </c>
      <c r="D22" s="3">
        <f>'UEA30 (colored)'!D22</f>
        <v>97.70992366412213</v>
      </c>
      <c r="E22" s="4">
        <f>'UEA30 (colored)'!E22</f>
        <v>98.473282442748086</v>
      </c>
      <c r="F22" s="4">
        <f>'UEA30 (colored)'!F22</f>
        <v>98.473282442748086</v>
      </c>
      <c r="G22" s="2">
        <f>'UEA30 (colored)'!G22</f>
        <v>42.748091603053432</v>
      </c>
      <c r="H22" s="2">
        <f>'UEA30 (colored)'!H22</f>
        <v>54.198473282442748</v>
      </c>
      <c r="I22" s="2">
        <f>'UEA30 (colored)'!I22</f>
        <v>66.412213740458014</v>
      </c>
      <c r="J22" s="2">
        <f>'UEA30 (colored)'!J22</f>
        <v>63.358778625954194</v>
      </c>
      <c r="K22" s="2">
        <f>'UEA30 (colored)'!K22</f>
        <v>64.122137404580144</v>
      </c>
      <c r="L22" s="2">
        <f>'UEA30 (colored)'!L22</f>
        <v>81.679389312977108</v>
      </c>
      <c r="M22" s="2">
        <f>'UEA30 (colored)'!M22</f>
        <v>61.068702290076338</v>
      </c>
      <c r="N22" s="2">
        <f>'UEA30 (colored)'!N22</f>
        <v>63.358778625954194</v>
      </c>
      <c r="O22" s="2">
        <f>'UEA30 (colored)'!O22</f>
        <v>70.992366412213741</v>
      </c>
      <c r="P22" s="2">
        <f>'UEA30 (colored)'!P22</f>
        <v>58.015267175572518</v>
      </c>
      <c r="Q22" s="2">
        <f>'UEA30 (colored)'!Q22</f>
        <v>57.251908396946561</v>
      </c>
      <c r="R22" s="2">
        <f>'UEA30 (colored)'!R22</f>
        <v>66.412213740458014</v>
      </c>
      <c r="S22" s="2">
        <f>'UEA30 (colored)'!S22</f>
        <v>59.541984732824424</v>
      </c>
      <c r="T22" s="2">
        <f>'UEA30 (colored)'!T22</f>
        <v>82.44274809160305</v>
      </c>
      <c r="U22" s="2">
        <f>'UEA30 (colored)'!U22</f>
        <v>88.549618320610691</v>
      </c>
      <c r="V22" s="2">
        <f>'UEA30 (colored)'!V22</f>
        <v>83.969465648854964</v>
      </c>
    </row>
    <row r="23" spans="1:22">
      <c r="A23" s="9" t="s">
        <v>10</v>
      </c>
      <c r="B23" s="2">
        <f>'UEA30 (colored)'!B23</f>
        <v>96.376811594202891</v>
      </c>
      <c r="C23" s="3">
        <f>'UEA30 (colored)'!C23</f>
        <v>99.275362318840578</v>
      </c>
      <c r="D23" s="4">
        <f>'UEA30 (colored)'!D23</f>
        <v>100</v>
      </c>
      <c r="E23" s="4">
        <f>'UEA30 (colored)'!E23</f>
        <v>100</v>
      </c>
      <c r="F23" s="4">
        <f>'UEA30 (colored)'!F23</f>
        <v>100</v>
      </c>
      <c r="G23" s="2">
        <f>'UEA30 (colored)'!G23</f>
        <v>65.217391304347828</v>
      </c>
      <c r="H23" s="2">
        <f>'UEA30 (colored)'!H23</f>
        <v>97.101449275362313</v>
      </c>
      <c r="I23" s="2">
        <f>'UEA30 (colored)'!I23</f>
        <v>66.666666666666657</v>
      </c>
      <c r="J23" s="2">
        <f>'UEA30 (colored)'!J23</f>
        <v>96.376811594202891</v>
      </c>
      <c r="K23" s="2">
        <f>'UEA30 (colored)'!K23</f>
        <v>96.376811594202891</v>
      </c>
      <c r="L23" s="4">
        <f>'UEA30 (colored)'!L23</f>
        <v>100</v>
      </c>
      <c r="M23" s="2">
        <f>'UEA30 (colored)'!M23</f>
        <v>94.927536231884062</v>
      </c>
      <c r="N23" s="2">
        <f>'UEA30 (colored)'!N23</f>
        <v>92.753623188405797</v>
      </c>
      <c r="O23" s="2">
        <f>'UEA30 (colored)'!O23</f>
        <v>92.753623188405797</v>
      </c>
      <c r="P23" s="2">
        <f>'UEA30 (colored)'!P23</f>
        <v>95.652173913043484</v>
      </c>
      <c r="Q23" s="2">
        <f>'UEA30 (colored)'!Q23</f>
        <v>98.550724637681171</v>
      </c>
      <c r="R23" s="2">
        <f>'UEA30 (colored)'!R23</f>
        <v>89.85507246376811</v>
      </c>
      <c r="S23" s="2">
        <f>'UEA30 (colored)'!S23</f>
        <v>80.434782608695656</v>
      </c>
      <c r="T23" s="2">
        <f>'UEA30 (colored)'!T23</f>
        <v>97.826086956521735</v>
      </c>
      <c r="U23" s="3">
        <f>'UEA30 (colored)'!U23</f>
        <v>99.275362318840578</v>
      </c>
      <c r="V23" s="2">
        <f>'UEA30 (colored)'!V23</f>
        <v>97.826086956521735</v>
      </c>
    </row>
    <row r="24" spans="1:22">
      <c r="A24" s="9" t="s">
        <v>50</v>
      </c>
      <c r="B24" s="2">
        <f>'UEA30 (colored)'!B24</f>
        <v>91.481481481481481</v>
      </c>
      <c r="C24" s="3">
        <f>'UEA30 (colored)'!C24</f>
        <v>98.888888888888886</v>
      </c>
      <c r="D24" s="3">
        <f>'UEA30 (colored)'!D24</f>
        <v>98.888888888888886</v>
      </c>
      <c r="E24" s="3">
        <f>'UEA30 (colored)'!E24</f>
        <v>98.888888888888886</v>
      </c>
      <c r="F24" s="4">
        <f>'UEA30 (colored)'!F24</f>
        <v>99.259259259259252</v>
      </c>
      <c r="G24" s="2">
        <f>'UEA30 (colored)'!G24</f>
        <v>91.851851851851848</v>
      </c>
      <c r="H24" s="2">
        <f>'UEA30 (colored)'!H24</f>
        <v>94.444444444444443</v>
      </c>
      <c r="I24" s="2">
        <f>'UEA30 (colored)'!I24</f>
        <v>77.777777777777786</v>
      </c>
      <c r="J24" s="2">
        <f>'UEA30 (colored)'!J24</f>
        <v>95.555555555555557</v>
      </c>
      <c r="K24" s="2">
        <f>'UEA30 (colored)'!K24</f>
        <v>97.407407407407405</v>
      </c>
      <c r="L24" s="2">
        <f>'UEA30 (colored)'!L24</f>
        <v>85.925925925925924</v>
      </c>
      <c r="M24" s="2">
        <f>'UEA30 (colored)'!M24</f>
        <v>96.296296296296291</v>
      </c>
      <c r="N24" s="2">
        <f>'UEA30 (colored)'!N24</f>
        <v>95.925925925925924</v>
      </c>
      <c r="O24" s="2">
        <f>'UEA30 (colored)'!O24</f>
        <v>96.296296296296291</v>
      </c>
      <c r="P24" s="2">
        <f>'UEA30 (colored)'!P24</f>
        <v>97.407407407407405</v>
      </c>
      <c r="Q24" s="2">
        <f>'UEA30 (colored)'!Q24</f>
        <v>96.666666666666671</v>
      </c>
      <c r="R24" s="2">
        <f>'UEA30 (colored)'!R24</f>
        <v>96.296296296296291</v>
      </c>
      <c r="S24" s="2">
        <f>'UEA30 (colored)'!S24</f>
        <v>94.814814814814824</v>
      </c>
      <c r="T24" s="2">
        <f>'UEA30 (colored)'!T24</f>
        <v>87.777777777777771</v>
      </c>
      <c r="U24" s="2">
        <f>'UEA30 (colored)'!U24</f>
        <v>97.037037037037038</v>
      </c>
      <c r="V24" s="2">
        <f>'UEA30 (colored)'!V24</f>
        <v>93.703703703703695</v>
      </c>
    </row>
    <row r="25" spans="1:22">
      <c r="A25" s="9" t="s">
        <v>11</v>
      </c>
      <c r="B25" s="2">
        <f>'UEA30 (colored)'!B25</f>
        <v>53</v>
      </c>
      <c r="C25" s="2">
        <f>'UEA30 (colored)'!C25</f>
        <v>56.999999999999993</v>
      </c>
      <c r="D25" s="2">
        <f>'UEA30 (colored)'!D25</f>
        <v>61</v>
      </c>
      <c r="E25" s="2">
        <f>'UEA30 (colored)'!E25</f>
        <v>55.000000000000007</v>
      </c>
      <c r="F25" s="2">
        <f>'UEA30 (colored)'!F25</f>
        <v>60</v>
      </c>
      <c r="G25" s="2">
        <f>'UEA30 (colored)'!G25</f>
        <v>62</v>
      </c>
      <c r="H25" s="2">
        <f>'UEA30 (colored)'!H25</f>
        <v>64</v>
      </c>
      <c r="I25" s="2">
        <f>'UEA30 (colored)'!I25</f>
        <v>63</v>
      </c>
      <c r="J25" s="2">
        <f>'UEA30 (colored)'!J25</f>
        <v>66</v>
      </c>
      <c r="K25" s="2">
        <f>'UEA30 (colored)'!K25</f>
        <v>67</v>
      </c>
      <c r="L25" s="2">
        <f>'UEA30 (colored)'!L25</f>
        <v>68</v>
      </c>
      <c r="M25" s="2">
        <f>'UEA30 (colored)'!M25</f>
        <v>67</v>
      </c>
      <c r="N25" s="4">
        <f>'UEA30 (colored)'!N25</f>
        <v>72</v>
      </c>
      <c r="O25" s="2">
        <f>'UEA30 (colored)'!O25</f>
        <v>66</v>
      </c>
      <c r="P25" s="2">
        <f>'UEA30 (colored)'!P25</f>
        <v>64</v>
      </c>
      <c r="Q25" s="2">
        <f>'UEA30 (colored)'!Q25</f>
        <v>63</v>
      </c>
      <c r="R25" s="2">
        <f>'UEA30 (colored)'!R25</f>
        <v>66</v>
      </c>
      <c r="S25" s="2">
        <f>'UEA30 (colored)'!S25</f>
        <v>64</v>
      </c>
      <c r="T25" s="2">
        <f>'UEA30 (colored)'!T25</f>
        <v>67</v>
      </c>
      <c r="U25" s="2">
        <f>'UEA30 (colored)'!U25</f>
        <v>66</v>
      </c>
      <c r="V25" s="3">
        <f>'UEA30 (colored)'!V25</f>
        <v>71</v>
      </c>
    </row>
    <row r="26" spans="1:22">
      <c r="A26" s="9" t="s">
        <v>12</v>
      </c>
      <c r="B26" s="2">
        <f>'UEA30 (colored)'!B26</f>
        <v>18.918918918918919</v>
      </c>
      <c r="C26" s="2">
        <f>'UEA30 (colored)'!C26</f>
        <v>51.351351351351347</v>
      </c>
      <c r="D26" s="2">
        <f>'UEA30 (colored)'!D26</f>
        <v>48.648648648648653</v>
      </c>
      <c r="E26" s="2">
        <f>'UEA30 (colored)'!E26</f>
        <v>51.351351351351347</v>
      </c>
      <c r="F26" s="2">
        <f>'UEA30 (colored)'!F26</f>
        <v>36.486486486486484</v>
      </c>
      <c r="G26" s="2">
        <f>'UEA30 (colored)'!G26</f>
        <v>66.21621621621621</v>
      </c>
      <c r="H26" s="2">
        <f>'UEA30 (colored)'!H26</f>
        <v>66.21621621621621</v>
      </c>
      <c r="I26" s="2">
        <f>'UEA30 (colored)'!I26</f>
        <v>70.270270270270274</v>
      </c>
      <c r="J26" s="4">
        <f>'UEA30 (colored)'!J26</f>
        <v>72.972972972972968</v>
      </c>
      <c r="K26" s="2">
        <f>'UEA30 (colored)'!K26</f>
        <v>66.21621621621621</v>
      </c>
      <c r="L26" s="2">
        <f>'UEA30 (colored)'!L26</f>
        <v>48.648648648648653</v>
      </c>
      <c r="M26" s="4">
        <f>'UEA30 (colored)'!M26</f>
        <v>72.972972972972968</v>
      </c>
      <c r="N26" s="3">
        <f>'UEA30 (colored)'!N26</f>
        <v>71.621621621621628</v>
      </c>
      <c r="O26" s="2">
        <f>'UEA30 (colored)'!O26</f>
        <v>63.513513513513509</v>
      </c>
      <c r="P26" s="2">
        <f>'UEA30 (colored)'!P26</f>
        <v>66.21621621621621</v>
      </c>
      <c r="Q26" s="2">
        <f>'UEA30 (colored)'!Q26</f>
        <v>63.513513513513509</v>
      </c>
      <c r="R26" s="2">
        <f>'UEA30 (colored)'!R26</f>
        <v>70.270270270270274</v>
      </c>
      <c r="S26" s="2">
        <f>'UEA30 (colored)'!S26</f>
        <v>58.108108108108105</v>
      </c>
      <c r="T26" s="2">
        <f>'UEA30 (colored)'!T26</f>
        <v>45.945945945945951</v>
      </c>
      <c r="U26" s="2">
        <f>'UEA30 (colored)'!U26</f>
        <v>60.810810810810814</v>
      </c>
      <c r="V26" s="2">
        <f>'UEA30 (colored)'!V26</f>
        <v>70.270270270270274</v>
      </c>
    </row>
    <row r="27" spans="1:22">
      <c r="A27" s="9" t="s">
        <v>51</v>
      </c>
      <c r="B27" s="2">
        <f>'UEA30 (colored)'!B27</f>
        <v>48.692</v>
      </c>
      <c r="C27" s="2">
        <f>'UEA30 (colored)'!C27</f>
        <v>38.524000000000001</v>
      </c>
      <c r="D27" s="2">
        <f>'UEA30 (colored)'!D27</f>
        <v>66.796000000000006</v>
      </c>
      <c r="E27" s="2">
        <f>'UEA30 (colored)'!E27</f>
        <v>67.052000000000007</v>
      </c>
      <c r="F27" s="2">
        <f>'UEA30 (colored)'!F27</f>
        <v>65.744</v>
      </c>
      <c r="G27" s="2">
        <f>'UEA30 (colored)'!G27</f>
        <v>18.995999999999999</v>
      </c>
      <c r="H27" s="2">
        <f>'UEA30 (colored)'!H27</f>
        <v>71.676000000000002</v>
      </c>
      <c r="I27" s="2">
        <f>'UEA30 (colored)'!I27</f>
        <v>72.424000000000007</v>
      </c>
      <c r="J27" s="2">
        <f>'UEA30 (colored)'!J27</f>
        <v>64.024000000000001</v>
      </c>
      <c r="K27" s="4">
        <f>'UEA30 (colored)'!K27</f>
        <v>75.587999999999994</v>
      </c>
      <c r="L27" s="2">
        <f>'UEA30 (colored)'!L27</f>
        <v>10.012</v>
      </c>
      <c r="M27" s="2">
        <f>'UEA30 (colored)'!M27</f>
        <v>64.192000000000007</v>
      </c>
      <c r="N27" s="2">
        <f>'UEA30 (colored)'!N27</f>
        <v>65.244</v>
      </c>
      <c r="O27" s="2">
        <f>'UEA30 (colored)'!O27</f>
        <v>64.868000000000009</v>
      </c>
      <c r="P27" s="3">
        <f>'UEA30 (colored)'!P27</f>
        <v>73.712000000000003</v>
      </c>
      <c r="Q27" s="2">
        <f>'UEA30 (colored)'!Q27</f>
        <v>60.936</v>
      </c>
      <c r="R27" s="2">
        <f>'UEA30 (colored)'!R27</f>
        <v>61.395999999999994</v>
      </c>
      <c r="S27" s="2">
        <f>'UEA30 (colored)'!S27</f>
        <v>73.436000000000007</v>
      </c>
      <c r="T27" s="2">
        <f>'UEA30 (colored)'!T27</f>
        <v>67.179999999999993</v>
      </c>
      <c r="U27" s="2">
        <f>'UEA30 (colored)'!U27</f>
        <v>68.244</v>
      </c>
      <c r="V27" s="2">
        <f>'UEA30 (colored)'!V27</f>
        <v>66.304000000000002</v>
      </c>
    </row>
    <row r="28" spans="1:22">
      <c r="A28" s="9" t="s">
        <v>13</v>
      </c>
      <c r="B28" s="2">
        <f>'UEA30 (colored)'!B28</f>
        <v>87.222222222222229</v>
      </c>
      <c r="C28" s="2">
        <f>'UEA30 (colored)'!C28</f>
        <v>90.555555555555557</v>
      </c>
      <c r="D28" s="2">
        <f>'UEA30 (colored)'!D28</f>
        <v>94.444444444444443</v>
      </c>
      <c r="E28" s="2">
        <f>'UEA30 (colored)'!E28</f>
        <v>93.333333333333329</v>
      </c>
      <c r="F28" s="2">
        <f>'UEA30 (colored)'!F28</f>
        <v>93.333333333333329</v>
      </c>
      <c r="G28" s="2">
        <f>'UEA30 (colored)'!G28</f>
        <v>70.555555555555557</v>
      </c>
      <c r="H28" s="2">
        <f>'UEA30 (colored)'!H28</f>
        <v>89.444444444444443</v>
      </c>
      <c r="I28" s="2">
        <f>'UEA30 (colored)'!I28</f>
        <v>34.444444444444443</v>
      </c>
      <c r="J28" s="2">
        <f>'UEA30 (colored)'!J28</f>
        <v>88.333333333333329</v>
      </c>
      <c r="K28" s="2">
        <f>'UEA30 (colored)'!K28</f>
        <v>90</v>
      </c>
      <c r="L28" s="3">
        <f>'UEA30 (colored)'!L28</f>
        <v>95.555555555555557</v>
      </c>
      <c r="M28" s="2">
        <f>'UEA30 (colored)'!M28</f>
        <v>88.333333333333329</v>
      </c>
      <c r="N28" s="2">
        <f>'UEA30 (colored)'!N28</f>
        <v>93.333333333333329</v>
      </c>
      <c r="O28" s="2">
        <f>'UEA30 (colored)'!O28</f>
        <v>90</v>
      </c>
      <c r="P28" s="2">
        <f>'UEA30 (colored)'!P28</f>
        <v>90.555555555555557</v>
      </c>
      <c r="Q28" s="2">
        <f>'UEA30 (colored)'!Q28</f>
        <v>81.666666666666671</v>
      </c>
      <c r="R28" s="2">
        <f>'UEA30 (colored)'!R28</f>
        <v>87.777777777777771</v>
      </c>
      <c r="S28" s="2">
        <f>'UEA30 (colored)'!S28</f>
        <v>91.666666666666657</v>
      </c>
      <c r="T28" s="4">
        <f>'UEA30 (colored)'!T28</f>
        <v>97.222222222222214</v>
      </c>
      <c r="U28" s="2">
        <f>'UEA30 (colored)'!U28</f>
        <v>91.666666666666657</v>
      </c>
      <c r="V28" s="2">
        <f>'UEA30 (colored)'!V28</f>
        <v>91.666666666666657</v>
      </c>
    </row>
    <row r="29" spans="1:22">
      <c r="A29" s="9" t="s">
        <v>14</v>
      </c>
      <c r="B29" s="2">
        <f>'UEA30 (colored)'!B29</f>
        <v>55.109489051094897</v>
      </c>
      <c r="C29" s="2">
        <f>'UEA30 (colored)'!C29</f>
        <v>64.030819140308196</v>
      </c>
      <c r="D29" s="3">
        <f>'UEA30 (colored)'!D29</f>
        <v>66.38280616382805</v>
      </c>
      <c r="E29" s="4">
        <f>'UEA30 (colored)'!E29</f>
        <v>66.504460665044604</v>
      </c>
      <c r="F29" s="2">
        <f>'UEA30 (colored)'!F29</f>
        <v>64.274128142741276</v>
      </c>
      <c r="G29" s="2">
        <f>'UEA30 (colored)'!G29</f>
        <v>34.022708840227089</v>
      </c>
      <c r="H29" s="2">
        <f>'UEA30 (colored)'!H29</f>
        <v>41.524736415247368</v>
      </c>
      <c r="I29" s="2">
        <f>'UEA30 (colored)'!I29</f>
        <v>34.18491484184915</v>
      </c>
      <c r="J29" s="2">
        <f>'UEA30 (colored)'!J29</f>
        <v>44.120032441200323</v>
      </c>
      <c r="K29" s="2">
        <f>'UEA30 (colored)'!K29</f>
        <v>43.592862935928629</v>
      </c>
      <c r="L29" s="2">
        <f>'UEA30 (colored)'!L29</f>
        <v>51.013787510137874</v>
      </c>
      <c r="M29" s="2">
        <f>'UEA30 (colored)'!M29</f>
        <v>44.444444444444443</v>
      </c>
      <c r="N29" s="2">
        <f>'UEA30 (colored)'!N29</f>
        <v>40.997566909975667</v>
      </c>
      <c r="O29" s="2">
        <f>'UEA30 (colored)'!O29</f>
        <v>41.240875912408761</v>
      </c>
      <c r="P29" s="2">
        <f>'UEA30 (colored)'!P29</f>
        <v>41.768045417680455</v>
      </c>
      <c r="Q29" s="2">
        <f>'UEA30 (colored)'!Q29</f>
        <v>56.731549067315491</v>
      </c>
      <c r="R29" s="2">
        <f>'UEA30 (colored)'!R29</f>
        <v>38.077858880778585</v>
      </c>
      <c r="S29" s="2">
        <f>'UEA30 (colored)'!S29</f>
        <v>40.673154906731554</v>
      </c>
      <c r="T29" s="2">
        <f>'UEA30 (colored)'!T29</f>
        <v>59.570154095701547</v>
      </c>
      <c r="U29" s="2">
        <f>'UEA30 (colored)'!U29</f>
        <v>60.056772100567727</v>
      </c>
      <c r="V29" s="2">
        <f>'UEA30 (colored)'!V29</f>
        <v>45.579886455798864</v>
      </c>
    </row>
    <row r="30" spans="1:22">
      <c r="A30" s="9" t="s">
        <v>15</v>
      </c>
      <c r="B30" s="2">
        <f>'UEA30 (colored)'!B30</f>
        <v>50</v>
      </c>
      <c r="C30" s="2">
        <f>'UEA30 (colored)'!C30</f>
        <v>54</v>
      </c>
      <c r="D30" s="2">
        <f>'UEA30 (colored)'!D30</f>
        <v>50</v>
      </c>
      <c r="E30" s="2">
        <f>'UEA30 (colored)'!E30</f>
        <v>54</v>
      </c>
      <c r="F30" s="2">
        <f>'UEA30 (colored)'!F30</f>
        <v>51</v>
      </c>
      <c r="G30" s="2">
        <f>'UEA30 (colored)'!G30</f>
        <v>64</v>
      </c>
      <c r="H30" s="2">
        <f>'UEA30 (colored)'!H30</f>
        <v>68</v>
      </c>
      <c r="I30" s="2">
        <f>'UEA30 (colored)'!I30</f>
        <v>66</v>
      </c>
      <c r="J30" s="2">
        <f>'UEA30 (colored)'!J30</f>
        <v>68</v>
      </c>
      <c r="K30" s="2">
        <f>'UEA30 (colored)'!K30</f>
        <v>67</v>
      </c>
      <c r="L30" s="4">
        <f>'UEA30 (colored)'!L30</f>
        <v>71</v>
      </c>
      <c r="M30" s="2">
        <f>'UEA30 (colored)'!M30</f>
        <v>67</v>
      </c>
      <c r="N30" s="2">
        <f>'UEA30 (colored)'!N30</f>
        <v>65</v>
      </c>
      <c r="O30" s="2">
        <f>'UEA30 (colored)'!O30</f>
        <v>67</v>
      </c>
      <c r="P30" s="2">
        <f>'UEA30 (colored)'!P30</f>
        <v>68</v>
      </c>
      <c r="Q30" s="3">
        <f>'UEA30 (colored)'!Q30</f>
        <v>69</v>
      </c>
      <c r="R30" s="2">
        <f>'UEA30 (colored)'!R30</f>
        <v>67</v>
      </c>
      <c r="S30" s="2">
        <f>'UEA30 (colored)'!S30</f>
        <v>67</v>
      </c>
      <c r="T30" s="2">
        <f>'UEA30 (colored)'!T30</f>
        <v>67</v>
      </c>
      <c r="U30" s="2">
        <f>'UEA30 (colored)'!U30</f>
        <v>67</v>
      </c>
      <c r="V30" s="3">
        <f>'UEA30 (colored)'!V30</f>
        <v>69</v>
      </c>
    </row>
    <row r="31" spans="1:22">
      <c r="A31" s="9" t="s">
        <v>52</v>
      </c>
      <c r="B31" s="2">
        <f>'UEA30 (colored)'!B31</f>
        <v>88.333333333333329</v>
      </c>
      <c r="C31" s="2">
        <f>'UEA30 (colored)'!C31</f>
        <v>89.444444444444443</v>
      </c>
      <c r="D31" s="2">
        <f>'UEA30 (colored)'!D31</f>
        <v>91.111111111111114</v>
      </c>
      <c r="E31" s="2">
        <f>'UEA30 (colored)'!E31</f>
        <v>90</v>
      </c>
      <c r="F31" s="2">
        <f>'UEA30 (colored)'!F31</f>
        <v>93.333333333333329</v>
      </c>
      <c r="G31" s="2">
        <f>'UEA30 (colored)'!G31</f>
        <v>96.111111111111114</v>
      </c>
      <c r="H31" s="2">
        <f>'UEA30 (colored)'!H31</f>
        <v>97.222222222222214</v>
      </c>
      <c r="I31" s="2">
        <f>'UEA30 (colored)'!I31</f>
        <v>95</v>
      </c>
      <c r="J31" s="2">
        <f>'UEA30 (colored)'!J31</f>
        <v>98.333333333333329</v>
      </c>
      <c r="K31" s="2">
        <f>'UEA30 (colored)'!K31</f>
        <v>95.555555555555557</v>
      </c>
      <c r="L31" s="4">
        <f>'UEA30 (colored)'!L31</f>
        <v>99.444444444444443</v>
      </c>
      <c r="M31" s="2">
        <f>'UEA30 (colored)'!M31</f>
        <v>96.111111111111114</v>
      </c>
      <c r="N31" s="2">
        <f>'UEA30 (colored)'!N31</f>
        <v>96.111111111111114</v>
      </c>
      <c r="O31" s="2">
        <f>'UEA30 (colored)'!O31</f>
        <v>93.333333333333329</v>
      </c>
      <c r="P31" s="2">
        <f>'UEA30 (colored)'!P31</f>
        <v>93.888888888888886</v>
      </c>
      <c r="Q31" s="2">
        <f>'UEA30 (colored)'!Q31</f>
        <v>80.555555555555557</v>
      </c>
      <c r="R31" s="2">
        <f>'UEA30 (colored)'!R31</f>
        <v>96.111111111111114</v>
      </c>
      <c r="S31" s="2">
        <f>'UEA30 (colored)'!S31</f>
        <v>88.888888888888886</v>
      </c>
      <c r="T31" s="3">
        <f>'UEA30 (colored)'!T31</f>
        <v>98.888888888888886</v>
      </c>
      <c r="U31" s="2">
        <f>'UEA30 (colored)'!U31</f>
        <v>92.222222222222229</v>
      </c>
      <c r="V31" s="3">
        <f>'UEA30 (colored)'!V31</f>
        <v>98.888888888888886</v>
      </c>
    </row>
    <row r="32" spans="1:22">
      <c r="A32" s="9" t="s">
        <v>16</v>
      </c>
      <c r="B32" s="2">
        <f>'UEA30 (colored)'!B32</f>
        <v>97.712978845054323</v>
      </c>
      <c r="C32" s="2">
        <f>'UEA30 (colored)'!C32</f>
        <v>98.227558604917093</v>
      </c>
      <c r="D32" s="2">
        <f>'UEA30 (colored)'!D32</f>
        <v>97.65580331618068</v>
      </c>
      <c r="E32" s="2">
        <f>'UEA30 (colored)'!E32</f>
        <v>97.85591766723843</v>
      </c>
      <c r="F32" s="2">
        <f>'UEA30 (colored)'!F32</f>
        <v>97.284162378502003</v>
      </c>
      <c r="G32" s="2">
        <f>'UEA30 (colored)'!G32</f>
        <v>92.481417953116065</v>
      </c>
      <c r="H32" s="2">
        <f>'UEA30 (colored)'!H32</f>
        <v>96.99828473413379</v>
      </c>
      <c r="I32" s="2">
        <f>'UEA30 (colored)'!I32</f>
        <v>46.941109205260148</v>
      </c>
      <c r="J32" s="2">
        <f>'UEA30 (colored)'!J32</f>
        <v>98.913664951400804</v>
      </c>
      <c r="K32" s="2">
        <f>'UEA30 (colored)'!K32</f>
        <v>98.513436249285306</v>
      </c>
      <c r="L32" s="2">
        <f>'UEA30 (colored)'!L32</f>
        <v>99.028016009148089</v>
      </c>
      <c r="M32" s="2">
        <f>'UEA30 (colored)'!M32</f>
        <v>98.59919954259577</v>
      </c>
      <c r="N32" s="2">
        <f>'UEA30 (colored)'!N32</f>
        <v>98.59919954259577</v>
      </c>
      <c r="O32" s="2">
        <f>'UEA30 (colored)'!O32</f>
        <v>98.542024013722127</v>
      </c>
      <c r="P32" s="2">
        <f>'UEA30 (colored)'!P32</f>
        <v>98.513436249285306</v>
      </c>
      <c r="Q32" s="2">
        <f>'UEA30 (colored)'!Q32</f>
        <v>98.484848484848484</v>
      </c>
      <c r="R32" s="2">
        <f>'UEA30 (colored)'!R32</f>
        <v>98.513436249285306</v>
      </c>
      <c r="S32" s="2">
        <f>'UEA30 (colored)'!S32</f>
        <v>98.427672955974842</v>
      </c>
      <c r="T32" s="4">
        <f>'UEA30 (colored)'!T32</f>
        <v>99.342481417953124</v>
      </c>
      <c r="U32" s="2">
        <f>'UEA30 (colored)'!U32</f>
        <v>98.513436249285306</v>
      </c>
      <c r="V32" s="3">
        <f>'UEA30 (colored)'!V32</f>
        <v>99.256718124642646</v>
      </c>
    </row>
    <row r="33" spans="1:22">
      <c r="A33" s="9" t="s">
        <v>17</v>
      </c>
      <c r="B33" s="2">
        <f>'UEA30 (colored)'!B33</f>
        <v>15.120787354607815</v>
      </c>
      <c r="C33" s="2">
        <f>'UEA30 (colored)'!C33</f>
        <v>27.82582761705935</v>
      </c>
      <c r="D33" s="2">
        <f>'UEA30 (colored)'!D33</f>
        <v>33.015210259469129</v>
      </c>
      <c r="E33" s="3">
        <f>'UEA30 (colored)'!E33</f>
        <v>33.16433045034298</v>
      </c>
      <c r="F33" s="4">
        <f>'UEA30 (colored)'!F33</f>
        <v>33.641515061139273</v>
      </c>
      <c r="G33" s="2">
        <f>'UEA30 (colored)'!G33</f>
        <v>6.6507605129734566</v>
      </c>
      <c r="H33" s="2">
        <f>'UEA30 (colored)'!H33</f>
        <v>16.224276767074262</v>
      </c>
      <c r="I33" s="2">
        <f>'UEA30 (colored)'!I33</f>
        <v>5.4279749478079333</v>
      </c>
      <c r="J33" s="2">
        <f>'UEA30 (colored)'!J33</f>
        <v>14.524306591112438</v>
      </c>
      <c r="K33" s="2">
        <f>'UEA30 (colored)'!K33</f>
        <v>13.748881598568447</v>
      </c>
      <c r="L33" s="2">
        <f>'UEA30 (colored)'!L33</f>
        <v>4.9209662988368628</v>
      </c>
      <c r="M33" s="2">
        <f>'UEA30 (colored)'!M33</f>
        <v>15.508499850879808</v>
      </c>
      <c r="N33" s="2">
        <f>'UEA30 (colored)'!N33</f>
        <v>11.691022964509393</v>
      </c>
      <c r="O33" s="2">
        <f>'UEA30 (colored)'!O33</f>
        <v>14.315538323889054</v>
      </c>
      <c r="P33" s="2">
        <f>'UEA30 (colored)'!P33</f>
        <v>14.255890247539515</v>
      </c>
      <c r="Q33" s="2">
        <f>'UEA30 (colored)'!Q33</f>
        <v>15.090963316433045</v>
      </c>
      <c r="R33" s="2">
        <f>'UEA30 (colored)'!R33</f>
        <v>13.122576796898301</v>
      </c>
      <c r="S33" s="2">
        <f>'UEA30 (colored)'!S33</f>
        <v>11.541902773635551</v>
      </c>
      <c r="T33" s="2">
        <f>'UEA30 (colored)'!T33</f>
        <v>33.074858335818668</v>
      </c>
      <c r="U33" s="2">
        <f>'UEA30 (colored)'!U33</f>
        <v>23.799582463465555</v>
      </c>
      <c r="V33" s="2">
        <f>'UEA30 (colored)'!V33</f>
        <v>30.331046823739932</v>
      </c>
    </row>
    <row r="34" spans="1:22">
      <c r="A34" s="9" t="s">
        <v>18</v>
      </c>
      <c r="B34" s="2">
        <f>'UEA30 (colored)'!B34</f>
        <v>80.26315789473685</v>
      </c>
      <c r="C34" s="2">
        <f>'UEA30 (colored)'!C34</f>
        <v>90.789473684210535</v>
      </c>
      <c r="D34" s="2">
        <f>'UEA30 (colored)'!D34</f>
        <v>90.131578947368425</v>
      </c>
      <c r="E34" s="2">
        <f>'UEA30 (colored)'!E34</f>
        <v>91.44736842105263</v>
      </c>
      <c r="F34" s="2">
        <f>'UEA30 (colored)'!F34</f>
        <v>90.131578947368425</v>
      </c>
      <c r="G34" s="2">
        <f>'UEA30 (colored)'!G34</f>
        <v>78.94736842105263</v>
      </c>
      <c r="H34" s="2">
        <f>'UEA30 (colored)'!H34</f>
        <v>81.578947368421055</v>
      </c>
      <c r="I34" s="2">
        <f>'UEA30 (colored)'!I34</f>
        <v>86.842105263157904</v>
      </c>
      <c r="J34" s="2">
        <f>'UEA30 (colored)'!J34</f>
        <v>89.473684210526315</v>
      </c>
      <c r="K34" s="2">
        <f>'UEA30 (colored)'!K34</f>
        <v>84.210526315789465</v>
      </c>
      <c r="L34" s="4">
        <f>'UEA30 (colored)'!L34</f>
        <v>94.078947368421055</v>
      </c>
      <c r="M34" s="2">
        <f>'UEA30 (colored)'!M34</f>
        <v>91.44736842105263</v>
      </c>
      <c r="N34" s="2">
        <f>'UEA30 (colored)'!N34</f>
        <v>84.868421052631575</v>
      </c>
      <c r="O34" s="2">
        <f>'UEA30 (colored)'!O34</f>
        <v>85.526315789473685</v>
      </c>
      <c r="P34" s="2">
        <f>'UEA30 (colored)'!P34</f>
        <v>87.5</v>
      </c>
      <c r="Q34" s="2">
        <f>'UEA30 (colored)'!Q34</f>
        <v>85.526315789473685</v>
      </c>
      <c r="R34" s="2">
        <f>'UEA30 (colored)'!R34</f>
        <v>86.842105263157904</v>
      </c>
      <c r="S34" s="2">
        <f>'UEA30 (colored)'!S34</f>
        <v>81.578947368421055</v>
      </c>
      <c r="T34" s="2">
        <f>'UEA30 (colored)'!T34</f>
        <v>91.44736842105263</v>
      </c>
      <c r="U34" s="2">
        <f>'UEA30 (colored)'!U34</f>
        <v>90.789473684210535</v>
      </c>
      <c r="V34" s="3">
        <f>'UEA30 (colored)'!V34</f>
        <v>92.76315789473685</v>
      </c>
    </row>
    <row r="35" spans="1:22">
      <c r="A35" s="9" t="s">
        <v>19</v>
      </c>
      <c r="B35" s="2">
        <f>'UEA30 (colored)'!B35</f>
        <v>20</v>
      </c>
      <c r="C35" s="2">
        <f>'UEA30 (colored)'!C35</f>
        <v>46.666666666666664</v>
      </c>
      <c r="D35" s="2">
        <f>'UEA30 (colored)'!D35</f>
        <v>40</v>
      </c>
      <c r="E35" s="2">
        <f>'UEA30 (colored)'!E35</f>
        <v>40</v>
      </c>
      <c r="F35" s="2">
        <f>'UEA30 (colored)'!F35</f>
        <v>66.666666666666657</v>
      </c>
      <c r="G35" s="2">
        <f>'UEA30 (colored)'!G35</f>
        <v>53.333333333333336</v>
      </c>
      <c r="H35" s="2">
        <f>'UEA30 (colored)'!H35</f>
        <v>73.333333333333329</v>
      </c>
      <c r="I35" s="2">
        <f>'UEA30 (colored)'!I35</f>
        <v>66.666666666666657</v>
      </c>
      <c r="J35" s="2">
        <f>'UEA30 (colored)'!J35</f>
        <v>66.666666666666657</v>
      </c>
      <c r="K35" s="3">
        <f>'UEA30 (colored)'!K35</f>
        <v>80</v>
      </c>
      <c r="L35" s="2">
        <f>'UEA30 (colored)'!L35</f>
        <v>73.333333333333329</v>
      </c>
      <c r="M35" s="2">
        <f>'UEA30 (colored)'!M35</f>
        <v>73.333333333333329</v>
      </c>
      <c r="N35" s="2">
        <f>'UEA30 (colored)'!N35</f>
        <v>66.666666666666657</v>
      </c>
      <c r="O35" s="2">
        <f>'UEA30 (colored)'!O35</f>
        <v>66.666666666666657</v>
      </c>
      <c r="P35" s="3">
        <f>'UEA30 (colored)'!P35</f>
        <v>80</v>
      </c>
      <c r="Q35" s="4">
        <f>'UEA30 (colored)'!Q35</f>
        <v>86.666666666666671</v>
      </c>
      <c r="R35" s="2">
        <f>'UEA30 (colored)'!R35</f>
        <v>73.333333333333329</v>
      </c>
      <c r="S35" s="2">
        <f>'UEA30 (colored)'!S35</f>
        <v>73.333333333333329</v>
      </c>
      <c r="T35" s="2">
        <f>'UEA30 (colored)'!T35</f>
        <v>60</v>
      </c>
      <c r="U35" s="2">
        <f>'UEA30 (colored)'!U35</f>
        <v>73.333333333333329</v>
      </c>
      <c r="V35" s="2">
        <f>'UEA30 (colored)'!V35</f>
        <v>73.333333333333329</v>
      </c>
    </row>
    <row r="36" spans="1:22">
      <c r="A36" s="10" t="s">
        <v>53</v>
      </c>
      <c r="B36" s="2">
        <f>'UEA30 (colored)'!B36</f>
        <v>70.35446676397973</v>
      </c>
      <c r="C36" s="2">
        <f>'UEA30 (colored)'!C36</f>
        <v>74.368404841950934</v>
      </c>
      <c r="D36" s="2">
        <f>'UEA30 (colored)'!D36</f>
        <v>78.155506431879772</v>
      </c>
      <c r="E36" s="3">
        <f>'UEA30 (colored)'!E36</f>
        <v>78.34857827953644</v>
      </c>
      <c r="F36" s="2">
        <f>'UEA30 (colored)'!F36</f>
        <v>77.599801668764002</v>
      </c>
      <c r="G36" s="2">
        <f>'UEA30 (colored)'!G36</f>
        <v>70.998976440724988</v>
      </c>
      <c r="H36" s="2">
        <f>'UEA30 (colored)'!H36</f>
        <v>72.759672049866111</v>
      </c>
      <c r="I36" s="2">
        <f>'UEA30 (colored)'!I36</f>
        <v>69.577909959641815</v>
      </c>
      <c r="J36" s="2">
        <f>'UEA30 (colored)'!J36</f>
        <v>75.168232523943757</v>
      </c>
      <c r="K36" s="2">
        <f>'UEA30 (colored)'!K36</f>
        <v>73.429003098053187</v>
      </c>
      <c r="L36" s="2">
        <f>'UEA30 (colored)'!L36</f>
        <v>77.442651833812363</v>
      </c>
      <c r="M36" s="2">
        <f>'UEA30 (colored)'!M36</f>
        <v>74.94832816664109</v>
      </c>
      <c r="N36" s="2">
        <f>'UEA30 (colored)'!N36</f>
        <v>71.544949205958517</v>
      </c>
      <c r="O36" s="2">
        <f>'UEA30 (colored)'!O36</f>
        <v>74.267179959281179</v>
      </c>
      <c r="P36" s="2">
        <f>'UEA30 (colored)'!P36</f>
        <v>75.315781107291002</v>
      </c>
      <c r="Q36" s="2">
        <f>'UEA30 (colored)'!Q36</f>
        <v>72.894579547666339</v>
      </c>
      <c r="R36" s="2">
        <f>'UEA30 (colored)'!R36</f>
        <v>74.300689343778302</v>
      </c>
      <c r="S36" s="2">
        <f>'UEA30 (colored)'!S36</f>
        <v>74.119963752592383</v>
      </c>
      <c r="T36" s="2">
        <f>'UEA30 (colored)'!T36</f>
        <v>75.481716311047435</v>
      </c>
      <c r="U36" s="2">
        <f>'UEA30 (colored)'!U36</f>
        <v>75.933375690075607</v>
      </c>
      <c r="V36" s="4">
        <f>'UEA30 (colored)'!V36</f>
        <v>78.778660895649992</v>
      </c>
    </row>
    <row r="37" spans="1:22">
      <c r="A37" s="10" t="s">
        <v>54</v>
      </c>
      <c r="B37" s="2">
        <f>'UEA30 (colored)'!B37</f>
        <v>68.019691068655888</v>
      </c>
      <c r="C37" s="2">
        <f>'UEA30 (colored)'!C37</f>
        <v>73.305689043226081</v>
      </c>
      <c r="D37" s="2">
        <f>'UEA30 (colored)'!D37</f>
        <v>76.865881142203619</v>
      </c>
      <c r="E37" s="2">
        <f>'UEA30 (colored)'!E37</f>
        <v>77.124035380642141</v>
      </c>
      <c r="F37" s="2">
        <f>'UEA30 (colored)'!F37</f>
        <v>76.320337763441785</v>
      </c>
      <c r="G37" s="2">
        <f>'UEA30 (colored)'!G37</f>
        <v>68.246933831184322</v>
      </c>
      <c r="H37" s="2">
        <f>'UEA30 (colored)'!H37</f>
        <v>75.307906765970017</v>
      </c>
      <c r="I37" s="2">
        <f>'UEA30 (colored)'!I37</f>
        <v>69.001332234525236</v>
      </c>
      <c r="J37" s="2">
        <f>'UEA30 (colored)'!J37</f>
        <v>76.921251305903354</v>
      </c>
      <c r="K37" s="2">
        <f>'UEA30 (colored)'!K37</f>
        <v>76.938256988340157</v>
      </c>
      <c r="L37" s="2">
        <f>'UEA30 (colored)'!L37</f>
        <v>76.263284827203975</v>
      </c>
      <c r="M37" s="2">
        <f>'UEA30 (colored)'!M37</f>
        <v>77.278970544169766</v>
      </c>
      <c r="N37" s="2">
        <f>'UEA30 (colored)'!N37</f>
        <v>74.128311000314483</v>
      </c>
      <c r="O37" s="2">
        <f>'UEA30 (colored)'!O37</f>
        <v>75.715536579810944</v>
      </c>
      <c r="P37" s="2">
        <f>'UEA30 (colored)'!P37</f>
        <v>77.427344870706534</v>
      </c>
      <c r="Q37" s="2">
        <f>'UEA30 (colored)'!Q37</f>
        <v>74.729146393937583</v>
      </c>
      <c r="R37" s="2">
        <f>'UEA30 (colored)'!R37</f>
        <v>76.064792007646602</v>
      </c>
      <c r="S37" s="2">
        <f>'UEA30 (colored)'!S37</f>
        <v>74.797352581492476</v>
      </c>
      <c r="T37" s="29">
        <f>'UEA30 (colored)'!T37</f>
        <v>77.699781609386719</v>
      </c>
      <c r="U37" s="3">
        <f>'UEA30 (colored)'!U37</f>
        <v>78.404820230891602</v>
      </c>
      <c r="V37" s="4">
        <f>'UEA30 (colored)'!V37</f>
        <v>79.802264961943052</v>
      </c>
    </row>
    <row r="38" spans="1:22">
      <c r="A38" s="10" t="s">
        <v>20</v>
      </c>
      <c r="B38" s="5">
        <f>'UEA30 (colored)'!B38</f>
        <v>16.033333333333335</v>
      </c>
      <c r="C38" s="5">
        <f>'UEA30 (colored)'!C38</f>
        <v>11.2</v>
      </c>
      <c r="D38" s="5">
        <f>'UEA30 (colored)'!D38</f>
        <v>8.9</v>
      </c>
      <c r="E38" s="5">
        <f>'UEA30 (colored)'!E38</f>
        <v>8.8333333333333339</v>
      </c>
      <c r="F38" s="5">
        <f>'UEA30 (colored)'!F38</f>
        <v>9.4</v>
      </c>
      <c r="G38" s="5">
        <f>'UEA30 (colored)'!G38</f>
        <v>16.8</v>
      </c>
      <c r="H38" s="5">
        <f>'UEA30 (colored)'!H38</f>
        <v>11.833333333333334</v>
      </c>
      <c r="I38" s="5">
        <f>'UEA30 (colored)'!I38</f>
        <v>13.9</v>
      </c>
      <c r="J38" s="5">
        <f>'UEA30 (colored)'!J38</f>
        <v>8.6666666666666661</v>
      </c>
      <c r="K38" s="5">
        <f>'UEA30 (colored)'!K38</f>
        <v>9.1333333333333329</v>
      </c>
      <c r="L38" s="5">
        <f>'UEA30 (colored)'!L38</f>
        <v>7.8</v>
      </c>
      <c r="M38" s="25">
        <f>'UEA30 (colored)'!M38</f>
        <v>7.0333333333333332</v>
      </c>
      <c r="N38" s="5">
        <f>'UEA30 (colored)'!N38</f>
        <v>12.333333333333334</v>
      </c>
      <c r="O38" s="5">
        <f>'UEA30 (colored)'!O38</f>
        <v>10.633333333333333</v>
      </c>
      <c r="P38" s="5">
        <f>'UEA30 (colored)'!P38</f>
        <v>8.5</v>
      </c>
      <c r="Q38" s="5">
        <f>'UEA30 (colored)'!Q38</f>
        <v>12.6</v>
      </c>
      <c r="R38" s="5">
        <f>'UEA30 (colored)'!R38</f>
        <v>9.5</v>
      </c>
      <c r="S38" s="5">
        <f>'UEA30 (colored)'!S38</f>
        <v>11.833333333333334</v>
      </c>
      <c r="T38" s="5">
        <f>'UEA30 (colored)'!T38</f>
        <v>7.8666666666666663</v>
      </c>
      <c r="U38" s="5">
        <f>'UEA30 (colored)'!U38</f>
        <v>7.1</v>
      </c>
      <c r="V38" s="6">
        <f>'UEA30 (colored)'!V38</f>
        <v>5.3666666666666663</v>
      </c>
    </row>
    <row r="39" spans="1:22">
      <c r="A39" s="10" t="s">
        <v>61</v>
      </c>
      <c r="B39" s="7">
        <f>'UEA30 (colored)'!B39</f>
        <v>1</v>
      </c>
      <c r="C39" s="7">
        <f>'UEA30 (colored)'!C39</f>
        <v>3</v>
      </c>
      <c r="D39" s="7">
        <f>'UEA30 (colored)'!D39</f>
        <v>4</v>
      </c>
      <c r="E39" s="13">
        <f>'UEA30 (colored)'!E39</f>
        <v>7</v>
      </c>
      <c r="F39" s="14">
        <f>'UEA30 (colored)'!F39</f>
        <v>8</v>
      </c>
      <c r="G39" s="7">
        <f>'UEA30 (colored)'!G39</f>
        <v>0</v>
      </c>
      <c r="H39" s="7">
        <f>'UEA30 (colored)'!H39</f>
        <v>1</v>
      </c>
      <c r="I39" s="7">
        <f>'UEA30 (colored)'!I39</f>
        <v>1</v>
      </c>
      <c r="J39" s="7">
        <f>'UEA30 (colored)'!J39</f>
        <v>3</v>
      </c>
      <c r="K39" s="7">
        <f>'UEA30 (colored)'!K39</f>
        <v>2</v>
      </c>
      <c r="L39" s="13">
        <f>'UEA30 (colored)'!L39</f>
        <v>7</v>
      </c>
      <c r="M39" s="7">
        <f>'UEA30 (colored)'!M39</f>
        <v>2</v>
      </c>
      <c r="N39" s="7">
        <f>'UEA30 (colored)'!N39</f>
        <v>1</v>
      </c>
      <c r="O39" s="7">
        <f>'UEA30 (colored)'!O39</f>
        <v>2</v>
      </c>
      <c r="P39" s="7">
        <f>'UEA30 (colored)'!P39</f>
        <v>1</v>
      </c>
      <c r="Q39" s="7">
        <f>'UEA30 (colored)'!Q39</f>
        <v>2</v>
      </c>
      <c r="R39" s="7">
        <f>'UEA30 (colored)'!R39</f>
        <v>1</v>
      </c>
      <c r="S39" s="7">
        <f>'UEA30 (colored)'!S39</f>
        <v>0</v>
      </c>
      <c r="T39" s="13">
        <f>'UEA30 (colored)'!T39</f>
        <v>7</v>
      </c>
      <c r="U39" s="7">
        <f>'UEA30 (colored)'!U39</f>
        <v>5</v>
      </c>
      <c r="V39" s="7">
        <f>'UEA30 (colored)'!V39</f>
        <v>5</v>
      </c>
    </row>
    <row r="40" spans="1:22">
      <c r="A40" s="10" t="s">
        <v>62</v>
      </c>
      <c r="B40" s="7">
        <f>'UEA30 (colored)'!B40</f>
        <v>2</v>
      </c>
      <c r="C40" s="7">
        <f>'UEA30 (colored)'!C40</f>
        <v>10</v>
      </c>
      <c r="D40" s="7">
        <f>'UEA30 (colored)'!D40</f>
        <v>13</v>
      </c>
      <c r="E40" s="7">
        <f>'UEA30 (colored)'!E40</f>
        <v>13</v>
      </c>
      <c r="F40" s="7">
        <f>'UEA30 (colored)'!F40</f>
        <v>12</v>
      </c>
      <c r="G40" s="7">
        <f>'UEA30 (colored)'!G40</f>
        <v>0</v>
      </c>
      <c r="H40" s="7">
        <f>'UEA30 (colored)'!H40</f>
        <v>6</v>
      </c>
      <c r="I40" s="7">
        <f>'UEA30 (colored)'!I40</f>
        <v>3</v>
      </c>
      <c r="J40" s="7">
        <f>'UEA30 (colored)'!J40</f>
        <v>9</v>
      </c>
      <c r="K40" s="7">
        <f>'UEA30 (colored)'!K40</f>
        <v>8</v>
      </c>
      <c r="L40" s="13">
        <f>'UEA30 (colored)'!L40</f>
        <v>16</v>
      </c>
      <c r="M40" s="7">
        <f>'UEA30 (colored)'!M40</f>
        <v>12</v>
      </c>
      <c r="N40" s="7">
        <f>'UEA30 (colored)'!N40</f>
        <v>6</v>
      </c>
      <c r="O40" s="7">
        <f>'UEA30 (colored)'!O40</f>
        <v>2</v>
      </c>
      <c r="P40" s="7">
        <f>'UEA30 (colored)'!P40</f>
        <v>12</v>
      </c>
      <c r="Q40" s="7">
        <f>'UEA30 (colored)'!Q40</f>
        <v>4</v>
      </c>
      <c r="R40" s="7">
        <f>'UEA30 (colored)'!R40</f>
        <v>6</v>
      </c>
      <c r="S40" s="7">
        <f>'UEA30 (colored)'!S40</f>
        <v>4</v>
      </c>
      <c r="T40" s="7">
        <f>'UEA30 (colored)'!T40</f>
        <v>14</v>
      </c>
      <c r="U40" s="7">
        <f>'UEA30 (colored)'!U40</f>
        <v>12</v>
      </c>
      <c r="V40" s="14">
        <f>'UEA30 (colored)'!V40</f>
        <v>18</v>
      </c>
    </row>
    <row r="41" spans="1:22">
      <c r="A41" s="10" t="s">
        <v>63</v>
      </c>
      <c r="B41" s="7">
        <f>'UEA30 (colored)'!B41</f>
        <v>5</v>
      </c>
      <c r="C41" s="7">
        <f>'UEA30 (colored)'!C41</f>
        <v>15</v>
      </c>
      <c r="D41" s="7">
        <f>'UEA30 (colored)'!D41</f>
        <v>19</v>
      </c>
      <c r="E41" s="7">
        <f>'UEA30 (colored)'!E41</f>
        <v>17</v>
      </c>
      <c r="F41" s="7">
        <f>'UEA30 (colored)'!F41</f>
        <v>16</v>
      </c>
      <c r="G41" s="7">
        <f>'UEA30 (colored)'!G41</f>
        <v>5</v>
      </c>
      <c r="H41" s="7">
        <f>'UEA30 (colored)'!H41</f>
        <v>11</v>
      </c>
      <c r="I41" s="7">
        <f>'UEA30 (colored)'!I41</f>
        <v>9</v>
      </c>
      <c r="J41" s="7">
        <f>'UEA30 (colored)'!J41</f>
        <v>17</v>
      </c>
      <c r="K41" s="7">
        <f>'UEA30 (colored)'!K41</f>
        <v>16</v>
      </c>
      <c r="L41" s="7">
        <f>'UEA30 (colored)'!L41</f>
        <v>21</v>
      </c>
      <c r="M41" s="28">
        <f>'UEA30 (colored)'!M41</f>
        <v>24</v>
      </c>
      <c r="N41" s="7">
        <f>'UEA30 (colored)'!N41</f>
        <v>10</v>
      </c>
      <c r="O41" s="7">
        <f>'UEA30 (colored)'!O41</f>
        <v>13</v>
      </c>
      <c r="P41" s="7">
        <f>'UEA30 (colored)'!P41</f>
        <v>17</v>
      </c>
      <c r="Q41" s="7">
        <f>'UEA30 (colored)'!Q41</f>
        <v>8</v>
      </c>
      <c r="R41" s="7">
        <f>'UEA30 (colored)'!R41</f>
        <v>18</v>
      </c>
      <c r="S41" s="7">
        <f>'UEA30 (colored)'!S41</f>
        <v>10</v>
      </c>
      <c r="T41" s="7">
        <f>'UEA30 (colored)'!T41</f>
        <v>20</v>
      </c>
      <c r="U41" s="13">
        <f>'UEA30 (colored)'!U41</f>
        <v>25</v>
      </c>
      <c r="V41" s="14">
        <f>'UEA30 (colored)'!V41</f>
        <v>27</v>
      </c>
    </row>
    <row r="42" spans="1:22">
      <c r="A42" s="10" t="s">
        <v>21</v>
      </c>
      <c r="B42" s="7">
        <f>'UEA30 (colored)'!B42</f>
        <v>29</v>
      </c>
      <c r="C42" s="7">
        <f>'UEA30 (colored)'!C42</f>
        <v>24</v>
      </c>
      <c r="D42" s="7">
        <f>'UEA30 (colored)'!D42</f>
        <v>20</v>
      </c>
      <c r="E42" s="7">
        <f>'UEA30 (colored)'!E42</f>
        <v>20</v>
      </c>
      <c r="F42" s="7">
        <f>'UEA30 (colored)'!F42</f>
        <v>21</v>
      </c>
      <c r="G42" s="7">
        <f>'UEA30 (colored)'!G42</f>
        <v>28</v>
      </c>
      <c r="H42" s="7">
        <f>'UEA30 (colored)'!H42</f>
        <v>25</v>
      </c>
      <c r="I42" s="7">
        <f>'UEA30 (colored)'!I42</f>
        <v>28</v>
      </c>
      <c r="J42" s="7">
        <f>'UEA30 (colored)'!J42</f>
        <v>24</v>
      </c>
      <c r="K42" s="7">
        <f>'UEA30 (colored)'!K42</f>
        <v>24</v>
      </c>
      <c r="L42" s="7">
        <f>'UEA30 (colored)'!L42</f>
        <v>18</v>
      </c>
      <c r="M42" s="7">
        <f>'UEA30 (colored)'!M42</f>
        <v>22</v>
      </c>
      <c r="N42" s="7">
        <f>'UEA30 (colored)'!N42</f>
        <v>23</v>
      </c>
      <c r="O42" s="7">
        <f>'UEA30 (colored)'!O42</f>
        <v>27</v>
      </c>
      <c r="P42" s="7">
        <f>'UEA30 (colored)'!P42</f>
        <v>21</v>
      </c>
      <c r="Q42" s="7">
        <f>'UEA30 (colored)'!Q42</f>
        <v>24</v>
      </c>
      <c r="R42" s="7">
        <f>'UEA30 (colored)'!R42</f>
        <v>26</v>
      </c>
      <c r="S42" s="7">
        <f>'UEA30 (colored)'!S42</f>
        <v>25</v>
      </c>
      <c r="T42" s="7">
        <f>'UEA30 (colored)'!T42</f>
        <v>20</v>
      </c>
      <c r="U42" s="7">
        <f>'UEA30 (colored)'!U42</f>
        <v>20</v>
      </c>
      <c r="V42" s="7">
        <f>'UEA30 (colored)'!V42</f>
        <v>0</v>
      </c>
    </row>
    <row r="43" spans="1:22">
      <c r="A43" s="10" t="s">
        <v>22</v>
      </c>
      <c r="B43" s="7">
        <f>'UEA30 (colored)'!B43</f>
        <v>2</v>
      </c>
      <c r="C43" s="7">
        <f>'UEA30 (colored)'!C43</f>
        <v>9</v>
      </c>
      <c r="D43" s="7">
        <f>'UEA30 (colored)'!D43</f>
        <v>14</v>
      </c>
      <c r="E43" s="7">
        <f>'UEA30 (colored)'!E43</f>
        <v>13</v>
      </c>
      <c r="F43" s="7">
        <f>'UEA30 (colored)'!F43</f>
        <v>11</v>
      </c>
      <c r="G43" s="7">
        <f>'UEA30 (colored)'!G43</f>
        <v>3</v>
      </c>
      <c r="H43" s="7">
        <f>'UEA30 (colored)'!H43</f>
        <v>7</v>
      </c>
      <c r="I43" s="7">
        <f>'UEA30 (colored)'!I43</f>
        <v>4</v>
      </c>
      <c r="J43" s="7">
        <f>'UEA30 (colored)'!J43</f>
        <v>8</v>
      </c>
      <c r="K43" s="7">
        <f>'UEA30 (colored)'!K43</f>
        <v>8</v>
      </c>
      <c r="L43" s="7">
        <f>'UEA30 (colored)'!L43</f>
        <v>15</v>
      </c>
      <c r="M43" s="7">
        <f>'UEA30 (colored)'!M43</f>
        <v>10</v>
      </c>
      <c r="N43" s="7">
        <f>'UEA30 (colored)'!N43</f>
        <v>7</v>
      </c>
      <c r="O43" s="7">
        <f>'UEA30 (colored)'!O43</f>
        <v>4</v>
      </c>
      <c r="P43" s="7">
        <f>'UEA30 (colored)'!P43</f>
        <v>10</v>
      </c>
      <c r="Q43" s="7">
        <f>'UEA30 (colored)'!Q43</f>
        <v>7</v>
      </c>
      <c r="R43" s="7">
        <f>'UEA30 (colored)'!R43</f>
        <v>7</v>
      </c>
      <c r="S43" s="7">
        <f>'UEA30 (colored)'!S43</f>
        <v>7</v>
      </c>
      <c r="T43" s="7">
        <f>'UEA30 (colored)'!T43</f>
        <v>14</v>
      </c>
      <c r="U43" s="7">
        <f>'UEA30 (colored)'!U43</f>
        <v>15</v>
      </c>
      <c r="V43" s="7">
        <f>'UEA30 (colored)'!V43</f>
        <v>0</v>
      </c>
    </row>
    <row r="44" spans="1:22">
      <c r="A44" t="s">
        <v>67</v>
      </c>
      <c r="B44" s="15">
        <f>'UEA30 (colored)'!B44</f>
        <v>3.6148028000000001E-6</v>
      </c>
      <c r="C44" s="15">
        <f>'UEA30 (colored)'!C44</f>
        <v>8.2399979840000004E-4</v>
      </c>
      <c r="D44" s="15">
        <f>'UEA30 (colored)'!D44</f>
        <v>5.6214029839700003E-2</v>
      </c>
      <c r="E44" s="15">
        <f>'UEA30 (colored)'!E44</f>
        <v>3.39326687995E-2</v>
      </c>
      <c r="F44" s="15">
        <f>'UEA30 (colored)'!F44</f>
        <v>1.5259624466699999E-2</v>
      </c>
      <c r="G44" s="15">
        <f>'UEA30 (colored)'!G44</f>
        <v>1.7574814999999999E-6</v>
      </c>
      <c r="H44" s="15">
        <f>'UEA30 (colored)'!H44</f>
        <v>1.029188644E-4</v>
      </c>
      <c r="I44" s="15">
        <f>'UEA30 (colored)'!I44</f>
        <v>4.9888494E-6</v>
      </c>
      <c r="J44" s="15">
        <f>'UEA30 (colored)'!J44</f>
        <v>4.1271717168000002E-3</v>
      </c>
      <c r="K44" s="15">
        <f>'UEA30 (colored)'!K44</f>
        <v>1.1389955577E-3</v>
      </c>
      <c r="L44" s="15">
        <f>'UEA30 (colored)'!L44</f>
        <v>3.97302551879E-2</v>
      </c>
      <c r="M44" s="15">
        <f>'UEA30 (colored)'!M44</f>
        <v>6.5308029432000004E-3</v>
      </c>
      <c r="N44" s="15">
        <f>'UEA30 (colored)'!N44</f>
        <v>8.4948726E-5</v>
      </c>
      <c r="O44" s="15">
        <f>'UEA30 (colored)'!O44</f>
        <v>1.0429514660000001E-4</v>
      </c>
      <c r="P44" s="15">
        <f>'UEA30 (colored)'!P44</f>
        <v>5.8827127747000003E-3</v>
      </c>
      <c r="Q44" s="15">
        <f>'UEA30 (colored)'!Q44</f>
        <v>4.8768206830000001E-4</v>
      </c>
      <c r="R44" s="15">
        <f>'UEA30 (colored)'!R44</f>
        <v>1.884871277E-4</v>
      </c>
      <c r="S44" s="15">
        <f>'UEA30 (colored)'!S44</f>
        <v>1.750380135E-4</v>
      </c>
      <c r="T44" s="15">
        <f>'UEA30 (colored)'!T44</f>
        <v>3.2784897078099999E-2</v>
      </c>
      <c r="U44" s="15">
        <f>'UEA30 (colored)'!U44</f>
        <v>4.1326511634099998E-2</v>
      </c>
      <c r="V44" s="15"/>
    </row>
    <row r="50" spans="1:22">
      <c r="A50" s="9" t="str">
        <f>A6</f>
        <v>EC</v>
      </c>
      <c r="B50">
        <f>RANK(B6,$B6:$V6)</f>
        <v>12</v>
      </c>
      <c r="C50">
        <f t="shared" ref="C50:V50" si="0">RANK(C6,$B6:$V6)</f>
        <v>4</v>
      </c>
      <c r="D50">
        <f t="shared" si="0"/>
        <v>3</v>
      </c>
      <c r="E50">
        <f t="shared" si="0"/>
        <v>2</v>
      </c>
      <c r="F50">
        <f t="shared" si="0"/>
        <v>1</v>
      </c>
      <c r="G50">
        <f t="shared" si="0"/>
        <v>18</v>
      </c>
      <c r="H50">
        <f t="shared" si="0"/>
        <v>12</v>
      </c>
      <c r="I50">
        <f t="shared" si="0"/>
        <v>19</v>
      </c>
      <c r="J50">
        <f t="shared" si="0"/>
        <v>9</v>
      </c>
      <c r="K50">
        <f t="shared" si="0"/>
        <v>12</v>
      </c>
      <c r="L50">
        <f t="shared" si="0"/>
        <v>16</v>
      </c>
      <c r="M50">
        <f t="shared" si="0"/>
        <v>7</v>
      </c>
      <c r="N50">
        <f t="shared" si="0"/>
        <v>8</v>
      </c>
      <c r="O50">
        <f t="shared" si="0"/>
        <v>10</v>
      </c>
      <c r="P50">
        <f t="shared" si="0"/>
        <v>5</v>
      </c>
      <c r="Q50">
        <f t="shared" si="0"/>
        <v>11</v>
      </c>
      <c r="R50">
        <f t="shared" si="0"/>
        <v>12</v>
      </c>
      <c r="S50">
        <f t="shared" si="0"/>
        <v>16</v>
      </c>
      <c r="T50">
        <f t="shared" si="0"/>
        <v>21</v>
      </c>
      <c r="U50">
        <f t="shared" si="0"/>
        <v>19</v>
      </c>
      <c r="V50">
        <f t="shared" si="0"/>
        <v>6</v>
      </c>
    </row>
    <row r="51" spans="1:22">
      <c r="A51" s="9" t="str">
        <f t="shared" ref="A51:A84" si="1">A7</f>
        <v>FD</v>
      </c>
      <c r="B51">
        <f t="shared" ref="B51:V63" si="2">RANK(B7,$B7:$V7)</f>
        <v>21</v>
      </c>
      <c r="C51">
        <f t="shared" si="2"/>
        <v>17</v>
      </c>
      <c r="D51">
        <f t="shared" si="2"/>
        <v>18</v>
      </c>
      <c r="E51">
        <f t="shared" si="2"/>
        <v>20</v>
      </c>
      <c r="F51">
        <f t="shared" si="2"/>
        <v>19</v>
      </c>
      <c r="G51">
        <f t="shared" si="2"/>
        <v>6</v>
      </c>
      <c r="H51">
        <f t="shared" si="2"/>
        <v>10</v>
      </c>
      <c r="I51">
        <f t="shared" si="2"/>
        <v>9</v>
      </c>
      <c r="J51">
        <f t="shared" si="2"/>
        <v>2</v>
      </c>
      <c r="K51">
        <f t="shared" si="2"/>
        <v>14</v>
      </c>
      <c r="L51">
        <f t="shared" si="2"/>
        <v>15</v>
      </c>
      <c r="M51">
        <f t="shared" si="2"/>
        <v>4</v>
      </c>
      <c r="N51">
        <f t="shared" si="2"/>
        <v>3</v>
      </c>
      <c r="O51">
        <f t="shared" si="2"/>
        <v>12</v>
      </c>
      <c r="P51">
        <f t="shared" si="2"/>
        <v>5</v>
      </c>
      <c r="Q51">
        <f t="shared" si="2"/>
        <v>13</v>
      </c>
      <c r="R51">
        <f t="shared" si="2"/>
        <v>8</v>
      </c>
      <c r="S51">
        <f t="shared" si="2"/>
        <v>11</v>
      </c>
      <c r="T51">
        <f t="shared" si="2"/>
        <v>16</v>
      </c>
      <c r="U51">
        <f t="shared" si="2"/>
        <v>1</v>
      </c>
      <c r="V51">
        <f t="shared" si="2"/>
        <v>7</v>
      </c>
    </row>
    <row r="52" spans="1:22">
      <c r="A52" s="9" t="str">
        <f t="shared" si="1"/>
        <v>HW</v>
      </c>
      <c r="B52">
        <f t="shared" si="2"/>
        <v>3</v>
      </c>
      <c r="C52">
        <f t="shared" si="2"/>
        <v>4</v>
      </c>
      <c r="D52">
        <f t="shared" si="2"/>
        <v>7</v>
      </c>
      <c r="E52">
        <f t="shared" si="2"/>
        <v>6</v>
      </c>
      <c r="F52">
        <f t="shared" si="2"/>
        <v>8</v>
      </c>
      <c r="G52">
        <f t="shared" si="2"/>
        <v>20</v>
      </c>
      <c r="H52">
        <f t="shared" si="2"/>
        <v>19</v>
      </c>
      <c r="I52">
        <f t="shared" si="2"/>
        <v>21</v>
      </c>
      <c r="J52">
        <f t="shared" si="2"/>
        <v>10</v>
      </c>
      <c r="K52">
        <f t="shared" si="2"/>
        <v>17</v>
      </c>
      <c r="L52">
        <f t="shared" si="2"/>
        <v>1</v>
      </c>
      <c r="M52">
        <f t="shared" si="2"/>
        <v>13</v>
      </c>
      <c r="N52">
        <f t="shared" si="2"/>
        <v>14</v>
      </c>
      <c r="O52">
        <f t="shared" si="2"/>
        <v>11</v>
      </c>
      <c r="P52">
        <f t="shared" si="2"/>
        <v>16</v>
      </c>
      <c r="Q52">
        <f t="shared" si="2"/>
        <v>18</v>
      </c>
      <c r="R52">
        <f t="shared" si="2"/>
        <v>12</v>
      </c>
      <c r="S52">
        <f t="shared" si="2"/>
        <v>15</v>
      </c>
      <c r="T52">
        <f t="shared" si="2"/>
        <v>5</v>
      </c>
      <c r="U52">
        <f t="shared" si="2"/>
        <v>9</v>
      </c>
      <c r="V52">
        <f t="shared" si="2"/>
        <v>2</v>
      </c>
    </row>
    <row r="53" spans="1:22">
      <c r="A53" s="9" t="str">
        <f t="shared" si="1"/>
        <v>HB</v>
      </c>
      <c r="B53">
        <f t="shared" si="2"/>
        <v>21</v>
      </c>
      <c r="C53">
        <f t="shared" si="2"/>
        <v>19</v>
      </c>
      <c r="D53">
        <f t="shared" si="2"/>
        <v>9</v>
      </c>
      <c r="E53">
        <f t="shared" si="2"/>
        <v>17</v>
      </c>
      <c r="F53">
        <f t="shared" si="2"/>
        <v>16</v>
      </c>
      <c r="G53">
        <f t="shared" si="2"/>
        <v>17</v>
      </c>
      <c r="H53">
        <f t="shared" si="2"/>
        <v>15</v>
      </c>
      <c r="I53">
        <f t="shared" si="2"/>
        <v>6</v>
      </c>
      <c r="J53">
        <f t="shared" si="2"/>
        <v>1</v>
      </c>
      <c r="K53">
        <f t="shared" si="2"/>
        <v>12</v>
      </c>
      <c r="L53">
        <f t="shared" si="2"/>
        <v>5</v>
      </c>
      <c r="M53">
        <f t="shared" si="2"/>
        <v>2</v>
      </c>
      <c r="N53">
        <f t="shared" si="2"/>
        <v>12</v>
      </c>
      <c r="O53">
        <f t="shared" si="2"/>
        <v>9</v>
      </c>
      <c r="P53">
        <f t="shared" si="2"/>
        <v>6</v>
      </c>
      <c r="Q53">
        <f t="shared" si="2"/>
        <v>20</v>
      </c>
      <c r="R53">
        <f t="shared" si="2"/>
        <v>6</v>
      </c>
      <c r="S53">
        <f t="shared" si="2"/>
        <v>12</v>
      </c>
      <c r="T53">
        <f t="shared" si="2"/>
        <v>2</v>
      </c>
      <c r="U53">
        <f t="shared" si="2"/>
        <v>9</v>
      </c>
      <c r="V53">
        <f t="shared" si="2"/>
        <v>4</v>
      </c>
    </row>
    <row r="54" spans="1:22">
      <c r="A54" s="9" t="str">
        <f t="shared" si="1"/>
        <v>JV</v>
      </c>
      <c r="B54">
        <f t="shared" si="2"/>
        <v>19</v>
      </c>
      <c r="C54">
        <f t="shared" si="2"/>
        <v>21</v>
      </c>
      <c r="D54">
        <f t="shared" si="2"/>
        <v>7</v>
      </c>
      <c r="E54">
        <f t="shared" si="2"/>
        <v>14</v>
      </c>
      <c r="F54">
        <f t="shared" si="2"/>
        <v>7</v>
      </c>
      <c r="G54">
        <f t="shared" si="2"/>
        <v>18</v>
      </c>
      <c r="H54">
        <f t="shared" si="2"/>
        <v>17</v>
      </c>
      <c r="I54">
        <f t="shared" si="2"/>
        <v>19</v>
      </c>
      <c r="J54">
        <f t="shared" si="2"/>
        <v>4</v>
      </c>
      <c r="K54">
        <f t="shared" si="2"/>
        <v>4</v>
      </c>
      <c r="L54">
        <f t="shared" si="2"/>
        <v>3</v>
      </c>
      <c r="M54">
        <f t="shared" si="2"/>
        <v>2</v>
      </c>
      <c r="N54">
        <f t="shared" si="2"/>
        <v>15</v>
      </c>
      <c r="O54">
        <f t="shared" si="2"/>
        <v>7</v>
      </c>
      <c r="P54">
        <f t="shared" si="2"/>
        <v>7</v>
      </c>
      <c r="Q54">
        <f t="shared" si="2"/>
        <v>16</v>
      </c>
      <c r="R54">
        <f t="shared" si="2"/>
        <v>12</v>
      </c>
      <c r="S54">
        <f t="shared" si="2"/>
        <v>12</v>
      </c>
      <c r="T54">
        <f t="shared" si="2"/>
        <v>1</v>
      </c>
      <c r="U54">
        <f t="shared" si="2"/>
        <v>7</v>
      </c>
      <c r="V54">
        <f t="shared" si="2"/>
        <v>4</v>
      </c>
    </row>
    <row r="55" spans="1:22">
      <c r="A55" s="9" t="str">
        <f t="shared" si="1"/>
        <v>PEMS</v>
      </c>
      <c r="B55">
        <f t="shared" si="2"/>
        <v>21</v>
      </c>
      <c r="C55">
        <f t="shared" si="2"/>
        <v>17</v>
      </c>
      <c r="D55">
        <f t="shared" si="2"/>
        <v>2</v>
      </c>
      <c r="E55">
        <f t="shared" si="2"/>
        <v>1</v>
      </c>
      <c r="F55">
        <f t="shared" si="2"/>
        <v>18</v>
      </c>
      <c r="G55">
        <f t="shared" si="2"/>
        <v>18</v>
      </c>
      <c r="H55">
        <f t="shared" si="2"/>
        <v>11</v>
      </c>
      <c r="I55">
        <f t="shared" si="2"/>
        <v>20</v>
      </c>
      <c r="J55">
        <f t="shared" si="2"/>
        <v>11</v>
      </c>
      <c r="K55">
        <f t="shared" si="2"/>
        <v>14</v>
      </c>
      <c r="L55">
        <f t="shared" si="2"/>
        <v>6</v>
      </c>
      <c r="M55">
        <f t="shared" si="2"/>
        <v>6</v>
      </c>
      <c r="N55">
        <f t="shared" si="2"/>
        <v>6</v>
      </c>
      <c r="O55">
        <f t="shared" si="2"/>
        <v>11</v>
      </c>
      <c r="P55">
        <f t="shared" si="2"/>
        <v>5</v>
      </c>
      <c r="Q55">
        <f t="shared" si="2"/>
        <v>6</v>
      </c>
      <c r="R55">
        <f t="shared" si="2"/>
        <v>10</v>
      </c>
      <c r="S55">
        <f t="shared" si="2"/>
        <v>3</v>
      </c>
      <c r="T55">
        <f t="shared" si="2"/>
        <v>15</v>
      </c>
      <c r="U55">
        <f t="shared" si="2"/>
        <v>4</v>
      </c>
      <c r="V55">
        <f t="shared" si="2"/>
        <v>16</v>
      </c>
    </row>
    <row r="56" spans="1:22">
      <c r="A56" s="9" t="str">
        <f t="shared" si="1"/>
        <v>SRS1</v>
      </c>
      <c r="B56">
        <f t="shared" si="2"/>
        <v>20</v>
      </c>
      <c r="C56">
        <f t="shared" si="2"/>
        <v>18</v>
      </c>
      <c r="D56">
        <f t="shared" si="2"/>
        <v>15</v>
      </c>
      <c r="E56">
        <f t="shared" si="2"/>
        <v>17</v>
      </c>
      <c r="F56">
        <f t="shared" si="2"/>
        <v>1</v>
      </c>
      <c r="G56">
        <f t="shared" si="2"/>
        <v>6</v>
      </c>
      <c r="H56">
        <f t="shared" si="2"/>
        <v>6</v>
      </c>
      <c r="I56">
        <f t="shared" si="2"/>
        <v>19</v>
      </c>
      <c r="J56">
        <f t="shared" si="2"/>
        <v>10</v>
      </c>
      <c r="K56">
        <f t="shared" si="2"/>
        <v>4</v>
      </c>
      <c r="L56">
        <f t="shared" si="2"/>
        <v>14</v>
      </c>
      <c r="M56">
        <f t="shared" si="2"/>
        <v>10</v>
      </c>
      <c r="N56">
        <f t="shared" si="2"/>
        <v>21</v>
      </c>
      <c r="O56">
        <f t="shared" si="2"/>
        <v>10</v>
      </c>
      <c r="P56">
        <f t="shared" si="2"/>
        <v>2</v>
      </c>
      <c r="Q56">
        <f t="shared" si="2"/>
        <v>15</v>
      </c>
      <c r="R56">
        <f t="shared" si="2"/>
        <v>5</v>
      </c>
      <c r="S56">
        <f t="shared" si="2"/>
        <v>2</v>
      </c>
      <c r="T56">
        <f t="shared" si="2"/>
        <v>13</v>
      </c>
      <c r="U56">
        <f t="shared" si="2"/>
        <v>6</v>
      </c>
      <c r="V56">
        <f t="shared" si="2"/>
        <v>9</v>
      </c>
    </row>
    <row r="57" spans="1:22">
      <c r="A57" s="9" t="str">
        <f t="shared" si="1"/>
        <v>SRS2</v>
      </c>
      <c r="B57">
        <f t="shared" si="2"/>
        <v>21</v>
      </c>
      <c r="C57">
        <f t="shared" si="2"/>
        <v>18</v>
      </c>
      <c r="D57">
        <f t="shared" si="2"/>
        <v>20</v>
      </c>
      <c r="E57">
        <f t="shared" si="2"/>
        <v>13</v>
      </c>
      <c r="F57">
        <f t="shared" si="2"/>
        <v>19</v>
      </c>
      <c r="G57">
        <f t="shared" si="2"/>
        <v>17</v>
      </c>
      <c r="H57">
        <f t="shared" si="2"/>
        <v>11</v>
      </c>
      <c r="I57">
        <f t="shared" si="2"/>
        <v>15</v>
      </c>
      <c r="J57">
        <f t="shared" si="2"/>
        <v>8</v>
      </c>
      <c r="K57">
        <f t="shared" si="2"/>
        <v>8</v>
      </c>
      <c r="L57">
        <f t="shared" si="2"/>
        <v>2</v>
      </c>
      <c r="M57">
        <f t="shared" si="2"/>
        <v>6</v>
      </c>
      <c r="N57">
        <f t="shared" si="2"/>
        <v>11</v>
      </c>
      <c r="O57">
        <f t="shared" si="2"/>
        <v>8</v>
      </c>
      <c r="P57">
        <f t="shared" si="2"/>
        <v>4</v>
      </c>
      <c r="Q57">
        <f t="shared" si="2"/>
        <v>4</v>
      </c>
      <c r="R57">
        <f t="shared" si="2"/>
        <v>6</v>
      </c>
      <c r="S57">
        <f t="shared" si="2"/>
        <v>13</v>
      </c>
      <c r="T57">
        <f t="shared" si="2"/>
        <v>15</v>
      </c>
      <c r="U57">
        <f t="shared" si="2"/>
        <v>3</v>
      </c>
      <c r="V57">
        <f t="shared" si="2"/>
        <v>1</v>
      </c>
    </row>
    <row r="58" spans="1:22">
      <c r="A58" s="9" t="str">
        <f t="shared" si="1"/>
        <v>SAD</v>
      </c>
      <c r="B58">
        <f t="shared" si="2"/>
        <v>19</v>
      </c>
      <c r="C58">
        <f t="shared" si="2"/>
        <v>10</v>
      </c>
      <c r="D58">
        <f t="shared" si="2"/>
        <v>11</v>
      </c>
      <c r="E58">
        <f t="shared" si="2"/>
        <v>11</v>
      </c>
      <c r="F58">
        <f t="shared" si="2"/>
        <v>13</v>
      </c>
      <c r="G58">
        <f t="shared" si="2"/>
        <v>20</v>
      </c>
      <c r="H58">
        <f t="shared" si="2"/>
        <v>17</v>
      </c>
      <c r="I58">
        <f t="shared" si="2"/>
        <v>7</v>
      </c>
      <c r="J58">
        <f t="shared" si="2"/>
        <v>4</v>
      </c>
      <c r="K58">
        <f t="shared" si="2"/>
        <v>6</v>
      </c>
      <c r="L58">
        <f t="shared" si="2"/>
        <v>18</v>
      </c>
      <c r="M58">
        <f t="shared" si="2"/>
        <v>4</v>
      </c>
      <c r="N58">
        <f t="shared" si="2"/>
        <v>7</v>
      </c>
      <c r="O58">
        <f t="shared" si="2"/>
        <v>14</v>
      </c>
      <c r="P58">
        <f t="shared" si="2"/>
        <v>15</v>
      </c>
      <c r="Q58">
        <f t="shared" si="2"/>
        <v>16</v>
      </c>
      <c r="R58">
        <f t="shared" si="2"/>
        <v>3</v>
      </c>
      <c r="S58">
        <f t="shared" si="2"/>
        <v>9</v>
      </c>
      <c r="T58">
        <f t="shared" si="2"/>
        <v>2</v>
      </c>
      <c r="U58">
        <f t="shared" si="2"/>
        <v>21</v>
      </c>
      <c r="V58">
        <f t="shared" si="2"/>
        <v>1</v>
      </c>
    </row>
    <row r="59" spans="1:22">
      <c r="A59" s="9" t="str">
        <f t="shared" si="1"/>
        <v>UW</v>
      </c>
      <c r="B59">
        <f t="shared" si="2"/>
        <v>9</v>
      </c>
      <c r="C59">
        <f t="shared" si="2"/>
        <v>4</v>
      </c>
      <c r="D59">
        <f t="shared" si="2"/>
        <v>4</v>
      </c>
      <c r="E59">
        <f t="shared" si="2"/>
        <v>2</v>
      </c>
      <c r="F59">
        <f t="shared" si="2"/>
        <v>4</v>
      </c>
      <c r="G59">
        <f t="shared" si="2"/>
        <v>20</v>
      </c>
      <c r="H59">
        <f t="shared" si="2"/>
        <v>13</v>
      </c>
      <c r="I59">
        <f t="shared" si="2"/>
        <v>19</v>
      </c>
      <c r="J59">
        <f t="shared" si="2"/>
        <v>15</v>
      </c>
      <c r="K59">
        <f t="shared" si="2"/>
        <v>15</v>
      </c>
      <c r="L59">
        <f t="shared" si="2"/>
        <v>2</v>
      </c>
      <c r="M59">
        <f t="shared" si="2"/>
        <v>8</v>
      </c>
      <c r="N59">
        <f t="shared" si="2"/>
        <v>21</v>
      </c>
      <c r="O59">
        <f t="shared" si="2"/>
        <v>11</v>
      </c>
      <c r="P59">
        <f t="shared" si="2"/>
        <v>15</v>
      </c>
      <c r="Q59">
        <f t="shared" si="2"/>
        <v>12</v>
      </c>
      <c r="R59">
        <f t="shared" si="2"/>
        <v>13</v>
      </c>
      <c r="S59">
        <f t="shared" si="2"/>
        <v>10</v>
      </c>
      <c r="T59">
        <f t="shared" si="2"/>
        <v>15</v>
      </c>
      <c r="U59">
        <f t="shared" si="2"/>
        <v>1</v>
      </c>
      <c r="V59">
        <f t="shared" si="2"/>
        <v>7</v>
      </c>
    </row>
    <row r="60" spans="1:22">
      <c r="A60" s="9" t="str">
        <f t="shared" si="1"/>
        <v>AWR</v>
      </c>
      <c r="B60">
        <f t="shared" si="2"/>
        <v>12</v>
      </c>
      <c r="C60">
        <f t="shared" si="2"/>
        <v>1</v>
      </c>
      <c r="D60">
        <f t="shared" si="2"/>
        <v>1</v>
      </c>
      <c r="E60">
        <f t="shared" si="2"/>
        <v>1</v>
      </c>
      <c r="F60">
        <f t="shared" si="2"/>
        <v>1</v>
      </c>
      <c r="G60">
        <f t="shared" si="2"/>
        <v>20</v>
      </c>
      <c r="H60">
        <f t="shared" si="2"/>
        <v>19</v>
      </c>
      <c r="I60">
        <f t="shared" si="2"/>
        <v>8</v>
      </c>
      <c r="J60">
        <f t="shared" si="2"/>
        <v>12</v>
      </c>
      <c r="K60">
        <f t="shared" si="2"/>
        <v>12</v>
      </c>
      <c r="L60">
        <f t="shared" si="2"/>
        <v>1</v>
      </c>
      <c r="M60">
        <f t="shared" si="2"/>
        <v>8</v>
      </c>
      <c r="N60">
        <f t="shared" si="2"/>
        <v>21</v>
      </c>
      <c r="O60">
        <f t="shared" si="2"/>
        <v>12</v>
      </c>
      <c r="P60">
        <f t="shared" si="2"/>
        <v>12</v>
      </c>
      <c r="Q60">
        <f t="shared" si="2"/>
        <v>12</v>
      </c>
      <c r="R60">
        <f t="shared" si="2"/>
        <v>12</v>
      </c>
      <c r="S60">
        <f t="shared" si="2"/>
        <v>8</v>
      </c>
      <c r="T60">
        <f t="shared" si="2"/>
        <v>8</v>
      </c>
      <c r="U60">
        <f t="shared" si="2"/>
        <v>1</v>
      </c>
      <c r="V60">
        <f t="shared" si="2"/>
        <v>1</v>
      </c>
    </row>
    <row r="61" spans="1:22">
      <c r="A61" s="9" t="str">
        <f t="shared" si="1"/>
        <v>AF</v>
      </c>
      <c r="B61">
        <f t="shared" si="2"/>
        <v>18</v>
      </c>
      <c r="C61">
        <f t="shared" si="2"/>
        <v>20</v>
      </c>
      <c r="D61">
        <f t="shared" si="2"/>
        <v>18</v>
      </c>
      <c r="E61">
        <f t="shared" si="2"/>
        <v>17</v>
      </c>
      <c r="F61">
        <f t="shared" si="2"/>
        <v>20</v>
      </c>
      <c r="G61">
        <f t="shared" si="2"/>
        <v>14</v>
      </c>
      <c r="H61">
        <f t="shared" si="2"/>
        <v>3</v>
      </c>
      <c r="I61">
        <f t="shared" si="2"/>
        <v>13</v>
      </c>
      <c r="J61">
        <f t="shared" si="2"/>
        <v>7</v>
      </c>
      <c r="K61">
        <f t="shared" si="2"/>
        <v>3</v>
      </c>
      <c r="L61">
        <f t="shared" si="2"/>
        <v>7</v>
      </c>
      <c r="M61">
        <f t="shared" si="2"/>
        <v>7</v>
      </c>
      <c r="N61">
        <f t="shared" si="2"/>
        <v>3</v>
      </c>
      <c r="O61">
        <f t="shared" si="2"/>
        <v>1</v>
      </c>
      <c r="P61">
        <f t="shared" si="2"/>
        <v>3</v>
      </c>
      <c r="Q61">
        <f t="shared" si="2"/>
        <v>1</v>
      </c>
      <c r="R61">
        <f t="shared" si="2"/>
        <v>7</v>
      </c>
      <c r="S61">
        <f t="shared" si="2"/>
        <v>7</v>
      </c>
      <c r="T61">
        <f t="shared" si="2"/>
        <v>16</v>
      </c>
      <c r="U61">
        <f t="shared" si="2"/>
        <v>7</v>
      </c>
      <c r="V61">
        <f t="shared" si="2"/>
        <v>14</v>
      </c>
    </row>
    <row r="62" spans="1:22">
      <c r="A62" s="9" t="str">
        <f t="shared" si="1"/>
        <v>BM</v>
      </c>
      <c r="B62">
        <f t="shared" si="2"/>
        <v>17</v>
      </c>
      <c r="C62">
        <f t="shared" si="2"/>
        <v>1</v>
      </c>
      <c r="D62">
        <f t="shared" si="2"/>
        <v>1</v>
      </c>
      <c r="E62">
        <f t="shared" si="2"/>
        <v>1</v>
      </c>
      <c r="F62">
        <f t="shared" si="2"/>
        <v>1</v>
      </c>
      <c r="G62">
        <f t="shared" si="2"/>
        <v>20</v>
      </c>
      <c r="H62">
        <f t="shared" si="2"/>
        <v>1</v>
      </c>
      <c r="I62">
        <f t="shared" si="2"/>
        <v>1</v>
      </c>
      <c r="J62">
        <f t="shared" si="2"/>
        <v>1</v>
      </c>
      <c r="K62">
        <f t="shared" si="2"/>
        <v>1</v>
      </c>
      <c r="L62">
        <f t="shared" si="2"/>
        <v>1</v>
      </c>
      <c r="M62">
        <f t="shared" si="2"/>
        <v>1</v>
      </c>
      <c r="N62">
        <f t="shared" si="2"/>
        <v>19</v>
      </c>
      <c r="O62">
        <f t="shared" si="2"/>
        <v>1</v>
      </c>
      <c r="P62">
        <f t="shared" si="2"/>
        <v>1</v>
      </c>
      <c r="Q62">
        <f t="shared" si="2"/>
        <v>21</v>
      </c>
      <c r="R62">
        <f t="shared" si="2"/>
        <v>1</v>
      </c>
      <c r="S62">
        <f t="shared" si="2"/>
        <v>17</v>
      </c>
      <c r="T62">
        <f t="shared" si="2"/>
        <v>1</v>
      </c>
      <c r="U62">
        <f t="shared" si="2"/>
        <v>1</v>
      </c>
      <c r="V62">
        <f t="shared" si="2"/>
        <v>1</v>
      </c>
    </row>
    <row r="63" spans="1:22">
      <c r="A63" s="9" t="str">
        <f t="shared" si="1"/>
        <v>CT</v>
      </c>
      <c r="B63">
        <f t="shared" si="2"/>
        <v>15</v>
      </c>
      <c r="C63">
        <f t="shared" si="2"/>
        <v>7</v>
      </c>
      <c r="D63">
        <f t="shared" si="2"/>
        <v>7</v>
      </c>
      <c r="E63">
        <f t="shared" ref="E63:V63" si="3">RANK(E19,$B19:$V19)</f>
        <v>10</v>
      </c>
      <c r="F63">
        <f t="shared" si="3"/>
        <v>4</v>
      </c>
      <c r="G63">
        <f t="shared" si="3"/>
        <v>19</v>
      </c>
      <c r="H63">
        <f t="shared" si="3"/>
        <v>12</v>
      </c>
      <c r="I63">
        <f t="shared" si="3"/>
        <v>20</v>
      </c>
      <c r="J63">
        <f t="shared" si="3"/>
        <v>16</v>
      </c>
      <c r="K63">
        <f t="shared" si="3"/>
        <v>7</v>
      </c>
      <c r="L63">
        <f t="shared" si="3"/>
        <v>10</v>
      </c>
      <c r="M63">
        <f t="shared" si="3"/>
        <v>4</v>
      </c>
      <c r="N63">
        <f t="shared" si="3"/>
        <v>21</v>
      </c>
      <c r="O63">
        <f t="shared" si="3"/>
        <v>17</v>
      </c>
      <c r="P63">
        <f t="shared" si="3"/>
        <v>12</v>
      </c>
      <c r="Q63">
        <f t="shared" si="3"/>
        <v>18</v>
      </c>
      <c r="R63">
        <f t="shared" si="3"/>
        <v>4</v>
      </c>
      <c r="S63">
        <f t="shared" si="3"/>
        <v>14</v>
      </c>
      <c r="T63">
        <f t="shared" si="3"/>
        <v>1</v>
      </c>
      <c r="U63">
        <f t="shared" si="3"/>
        <v>3</v>
      </c>
      <c r="V63">
        <f t="shared" si="3"/>
        <v>2</v>
      </c>
    </row>
    <row r="64" spans="1:22">
      <c r="A64" s="9" t="str">
        <f t="shared" si="1"/>
        <v>CR</v>
      </c>
      <c r="B64">
        <f t="shared" ref="B64:V76" si="4">RANK(B20,$B20:$V20)</f>
        <v>1</v>
      </c>
      <c r="C64">
        <f t="shared" si="4"/>
        <v>1</v>
      </c>
      <c r="D64">
        <f t="shared" si="4"/>
        <v>1</v>
      </c>
      <c r="E64">
        <f t="shared" si="4"/>
        <v>1</v>
      </c>
      <c r="F64">
        <f t="shared" si="4"/>
        <v>8</v>
      </c>
      <c r="G64">
        <f t="shared" si="4"/>
        <v>19</v>
      </c>
      <c r="H64">
        <f t="shared" si="4"/>
        <v>18</v>
      </c>
      <c r="I64">
        <f t="shared" si="4"/>
        <v>11</v>
      </c>
      <c r="J64">
        <f t="shared" si="4"/>
        <v>11</v>
      </c>
      <c r="K64">
        <f t="shared" si="4"/>
        <v>11</v>
      </c>
      <c r="L64">
        <f t="shared" si="4"/>
        <v>19</v>
      </c>
      <c r="M64">
        <f t="shared" si="4"/>
        <v>8</v>
      </c>
      <c r="N64">
        <f t="shared" si="4"/>
        <v>21</v>
      </c>
      <c r="O64">
        <f t="shared" si="4"/>
        <v>8</v>
      </c>
      <c r="P64">
        <f t="shared" si="4"/>
        <v>11</v>
      </c>
      <c r="Q64">
        <f t="shared" si="4"/>
        <v>11</v>
      </c>
      <c r="R64">
        <f t="shared" si="4"/>
        <v>11</v>
      </c>
      <c r="S64">
        <f t="shared" si="4"/>
        <v>11</v>
      </c>
      <c r="T64">
        <f t="shared" si="4"/>
        <v>1</v>
      </c>
      <c r="U64">
        <f t="shared" si="4"/>
        <v>1</v>
      </c>
      <c r="V64">
        <f t="shared" si="4"/>
        <v>1</v>
      </c>
    </row>
    <row r="65" spans="1:22">
      <c r="A65" s="9" t="str">
        <f t="shared" si="1"/>
        <v>DDG</v>
      </c>
      <c r="B65">
        <f t="shared" si="4"/>
        <v>15</v>
      </c>
      <c r="C65">
        <f t="shared" si="4"/>
        <v>17</v>
      </c>
      <c r="D65">
        <f t="shared" si="4"/>
        <v>5</v>
      </c>
      <c r="E65">
        <f t="shared" si="4"/>
        <v>7</v>
      </c>
      <c r="F65">
        <f t="shared" si="4"/>
        <v>13</v>
      </c>
      <c r="G65">
        <f t="shared" si="4"/>
        <v>10</v>
      </c>
      <c r="H65">
        <f t="shared" si="4"/>
        <v>16</v>
      </c>
      <c r="I65">
        <f t="shared" si="4"/>
        <v>7</v>
      </c>
      <c r="J65">
        <f t="shared" si="4"/>
        <v>7</v>
      </c>
      <c r="K65">
        <f t="shared" si="4"/>
        <v>10</v>
      </c>
      <c r="L65">
        <f t="shared" si="4"/>
        <v>2</v>
      </c>
      <c r="M65">
        <f t="shared" si="4"/>
        <v>2</v>
      </c>
      <c r="N65">
        <f t="shared" si="4"/>
        <v>19</v>
      </c>
      <c r="O65">
        <f t="shared" si="4"/>
        <v>19</v>
      </c>
      <c r="P65">
        <f t="shared" si="4"/>
        <v>4</v>
      </c>
      <c r="Q65">
        <f t="shared" si="4"/>
        <v>21</v>
      </c>
      <c r="R65">
        <f t="shared" si="4"/>
        <v>10</v>
      </c>
      <c r="S65">
        <f t="shared" si="4"/>
        <v>13</v>
      </c>
      <c r="T65">
        <f t="shared" si="4"/>
        <v>1</v>
      </c>
      <c r="U65">
        <f t="shared" si="4"/>
        <v>18</v>
      </c>
      <c r="V65">
        <f t="shared" si="4"/>
        <v>5</v>
      </c>
    </row>
    <row r="66" spans="1:22">
      <c r="A66" s="9" t="str">
        <f t="shared" si="1"/>
        <v>EW</v>
      </c>
      <c r="B66">
        <f t="shared" si="4"/>
        <v>15</v>
      </c>
      <c r="C66">
        <f t="shared" si="4"/>
        <v>4</v>
      </c>
      <c r="D66">
        <f t="shared" si="4"/>
        <v>3</v>
      </c>
      <c r="E66">
        <f t="shared" si="4"/>
        <v>1</v>
      </c>
      <c r="F66">
        <f t="shared" si="4"/>
        <v>1</v>
      </c>
      <c r="G66">
        <f t="shared" si="4"/>
        <v>21</v>
      </c>
      <c r="H66">
        <f t="shared" si="4"/>
        <v>20</v>
      </c>
      <c r="I66">
        <f t="shared" si="4"/>
        <v>10</v>
      </c>
      <c r="J66">
        <f t="shared" si="4"/>
        <v>13</v>
      </c>
      <c r="K66">
        <f t="shared" si="4"/>
        <v>12</v>
      </c>
      <c r="L66">
        <f t="shared" si="4"/>
        <v>8</v>
      </c>
      <c r="M66">
        <f t="shared" si="4"/>
        <v>16</v>
      </c>
      <c r="N66">
        <f t="shared" si="4"/>
        <v>13</v>
      </c>
      <c r="O66">
        <f t="shared" si="4"/>
        <v>9</v>
      </c>
      <c r="P66">
        <f t="shared" si="4"/>
        <v>18</v>
      </c>
      <c r="Q66">
        <f t="shared" si="4"/>
        <v>19</v>
      </c>
      <c r="R66">
        <f t="shared" si="4"/>
        <v>10</v>
      </c>
      <c r="S66">
        <f t="shared" si="4"/>
        <v>17</v>
      </c>
      <c r="T66">
        <f t="shared" si="4"/>
        <v>7</v>
      </c>
      <c r="U66">
        <f t="shared" si="4"/>
        <v>5</v>
      </c>
      <c r="V66">
        <f t="shared" si="4"/>
        <v>6</v>
      </c>
    </row>
    <row r="67" spans="1:22">
      <c r="A67" s="9" t="str">
        <f t="shared" si="1"/>
        <v>EP</v>
      </c>
      <c r="B67">
        <f t="shared" si="4"/>
        <v>11</v>
      </c>
      <c r="C67">
        <f t="shared" si="4"/>
        <v>5</v>
      </c>
      <c r="D67">
        <f t="shared" si="4"/>
        <v>1</v>
      </c>
      <c r="E67">
        <f t="shared" si="4"/>
        <v>1</v>
      </c>
      <c r="F67">
        <f t="shared" si="4"/>
        <v>1</v>
      </c>
      <c r="G67">
        <f t="shared" si="4"/>
        <v>21</v>
      </c>
      <c r="H67">
        <f t="shared" si="4"/>
        <v>10</v>
      </c>
      <c r="I67">
        <f t="shared" si="4"/>
        <v>20</v>
      </c>
      <c r="J67">
        <f t="shared" si="4"/>
        <v>11</v>
      </c>
      <c r="K67">
        <f t="shared" si="4"/>
        <v>11</v>
      </c>
      <c r="L67">
        <f t="shared" si="4"/>
        <v>1</v>
      </c>
      <c r="M67">
        <f t="shared" si="4"/>
        <v>15</v>
      </c>
      <c r="N67">
        <f t="shared" si="4"/>
        <v>16</v>
      </c>
      <c r="O67">
        <f t="shared" si="4"/>
        <v>16</v>
      </c>
      <c r="P67">
        <f t="shared" si="4"/>
        <v>14</v>
      </c>
      <c r="Q67">
        <f t="shared" si="4"/>
        <v>7</v>
      </c>
      <c r="R67">
        <f t="shared" si="4"/>
        <v>18</v>
      </c>
      <c r="S67">
        <f t="shared" si="4"/>
        <v>19</v>
      </c>
      <c r="T67">
        <f t="shared" si="4"/>
        <v>8</v>
      </c>
      <c r="U67">
        <f t="shared" si="4"/>
        <v>5</v>
      </c>
      <c r="V67">
        <f t="shared" si="4"/>
        <v>8</v>
      </c>
    </row>
    <row r="68" spans="1:22">
      <c r="A68" s="9" t="str">
        <f t="shared" si="1"/>
        <v>ER</v>
      </c>
      <c r="B68">
        <f t="shared" si="4"/>
        <v>18</v>
      </c>
      <c r="C68">
        <f t="shared" si="4"/>
        <v>2</v>
      </c>
      <c r="D68">
        <f t="shared" si="4"/>
        <v>2</v>
      </c>
      <c r="E68">
        <f t="shared" si="4"/>
        <v>2</v>
      </c>
      <c r="F68">
        <f t="shared" si="4"/>
        <v>1</v>
      </c>
      <c r="G68">
        <f t="shared" si="4"/>
        <v>17</v>
      </c>
      <c r="H68">
        <f t="shared" si="4"/>
        <v>15</v>
      </c>
      <c r="I68">
        <f t="shared" si="4"/>
        <v>21</v>
      </c>
      <c r="J68">
        <f t="shared" si="4"/>
        <v>13</v>
      </c>
      <c r="K68">
        <f t="shared" si="4"/>
        <v>5</v>
      </c>
      <c r="L68">
        <f t="shared" si="4"/>
        <v>20</v>
      </c>
      <c r="M68">
        <f t="shared" si="4"/>
        <v>9</v>
      </c>
      <c r="N68">
        <f t="shared" si="4"/>
        <v>12</v>
      </c>
      <c r="O68">
        <f t="shared" si="4"/>
        <v>9</v>
      </c>
      <c r="P68">
        <f t="shared" si="4"/>
        <v>5</v>
      </c>
      <c r="Q68">
        <f t="shared" si="4"/>
        <v>8</v>
      </c>
      <c r="R68">
        <f t="shared" si="4"/>
        <v>9</v>
      </c>
      <c r="S68">
        <f t="shared" si="4"/>
        <v>14</v>
      </c>
      <c r="T68">
        <f t="shared" si="4"/>
        <v>19</v>
      </c>
      <c r="U68">
        <f t="shared" si="4"/>
        <v>7</v>
      </c>
      <c r="V68">
        <f t="shared" si="4"/>
        <v>16</v>
      </c>
    </row>
    <row r="69" spans="1:22">
      <c r="A69" s="9" t="str">
        <f t="shared" si="1"/>
        <v>FM</v>
      </c>
      <c r="B69">
        <f t="shared" si="4"/>
        <v>21</v>
      </c>
      <c r="C69">
        <f t="shared" si="4"/>
        <v>19</v>
      </c>
      <c r="D69">
        <f t="shared" si="4"/>
        <v>17</v>
      </c>
      <c r="E69">
        <f t="shared" si="4"/>
        <v>20</v>
      </c>
      <c r="F69">
        <f t="shared" si="4"/>
        <v>18</v>
      </c>
      <c r="G69">
        <f t="shared" si="4"/>
        <v>16</v>
      </c>
      <c r="H69">
        <f t="shared" si="4"/>
        <v>11</v>
      </c>
      <c r="I69">
        <f t="shared" si="4"/>
        <v>14</v>
      </c>
      <c r="J69">
        <f t="shared" si="4"/>
        <v>7</v>
      </c>
      <c r="K69">
        <f t="shared" si="4"/>
        <v>4</v>
      </c>
      <c r="L69">
        <f t="shared" si="4"/>
        <v>3</v>
      </c>
      <c r="M69">
        <f t="shared" si="4"/>
        <v>4</v>
      </c>
      <c r="N69">
        <f t="shared" si="4"/>
        <v>1</v>
      </c>
      <c r="O69">
        <f t="shared" si="4"/>
        <v>7</v>
      </c>
      <c r="P69">
        <f t="shared" si="4"/>
        <v>11</v>
      </c>
      <c r="Q69">
        <f t="shared" si="4"/>
        <v>14</v>
      </c>
      <c r="R69">
        <f t="shared" si="4"/>
        <v>7</v>
      </c>
      <c r="S69">
        <f t="shared" si="4"/>
        <v>11</v>
      </c>
      <c r="T69">
        <f t="shared" si="4"/>
        <v>4</v>
      </c>
      <c r="U69">
        <f t="shared" si="4"/>
        <v>7</v>
      </c>
      <c r="V69">
        <f t="shared" si="4"/>
        <v>2</v>
      </c>
    </row>
    <row r="70" spans="1:22">
      <c r="A70" s="9" t="str">
        <f t="shared" si="1"/>
        <v>HMD</v>
      </c>
      <c r="B70">
        <f t="shared" si="4"/>
        <v>21</v>
      </c>
      <c r="C70">
        <f t="shared" si="4"/>
        <v>15</v>
      </c>
      <c r="D70">
        <f t="shared" si="4"/>
        <v>17</v>
      </c>
      <c r="E70">
        <f t="shared" si="4"/>
        <v>15</v>
      </c>
      <c r="F70">
        <f t="shared" si="4"/>
        <v>20</v>
      </c>
      <c r="G70">
        <f t="shared" si="4"/>
        <v>7</v>
      </c>
      <c r="H70">
        <f t="shared" si="4"/>
        <v>7</v>
      </c>
      <c r="I70">
        <f t="shared" si="4"/>
        <v>4</v>
      </c>
      <c r="J70">
        <f t="shared" si="4"/>
        <v>1</v>
      </c>
      <c r="K70">
        <f t="shared" si="4"/>
        <v>7</v>
      </c>
      <c r="L70">
        <f t="shared" si="4"/>
        <v>17</v>
      </c>
      <c r="M70">
        <f t="shared" si="4"/>
        <v>1</v>
      </c>
      <c r="N70">
        <f t="shared" si="4"/>
        <v>3</v>
      </c>
      <c r="O70">
        <f t="shared" si="4"/>
        <v>11</v>
      </c>
      <c r="P70">
        <f t="shared" si="4"/>
        <v>7</v>
      </c>
      <c r="Q70">
        <f t="shared" si="4"/>
        <v>11</v>
      </c>
      <c r="R70">
        <f t="shared" si="4"/>
        <v>4</v>
      </c>
      <c r="S70">
        <f t="shared" si="4"/>
        <v>14</v>
      </c>
      <c r="T70">
        <f t="shared" si="4"/>
        <v>19</v>
      </c>
      <c r="U70">
        <f t="shared" si="4"/>
        <v>13</v>
      </c>
      <c r="V70">
        <f t="shared" si="4"/>
        <v>4</v>
      </c>
    </row>
    <row r="71" spans="1:22">
      <c r="A71" s="9" t="str">
        <f t="shared" si="1"/>
        <v>IW</v>
      </c>
      <c r="B71">
        <f t="shared" si="4"/>
        <v>18</v>
      </c>
      <c r="C71">
        <f t="shared" si="4"/>
        <v>19</v>
      </c>
      <c r="D71">
        <f t="shared" si="4"/>
        <v>9</v>
      </c>
      <c r="E71">
        <f t="shared" si="4"/>
        <v>8</v>
      </c>
      <c r="F71">
        <f t="shared" si="4"/>
        <v>11</v>
      </c>
      <c r="G71">
        <f t="shared" si="4"/>
        <v>20</v>
      </c>
      <c r="H71">
        <f t="shared" si="4"/>
        <v>5</v>
      </c>
      <c r="I71">
        <f t="shared" si="4"/>
        <v>4</v>
      </c>
      <c r="J71">
        <f t="shared" si="4"/>
        <v>15</v>
      </c>
      <c r="K71">
        <f t="shared" si="4"/>
        <v>1</v>
      </c>
      <c r="L71">
        <f t="shared" si="4"/>
        <v>21</v>
      </c>
      <c r="M71">
        <f t="shared" si="4"/>
        <v>14</v>
      </c>
      <c r="N71">
        <f t="shared" si="4"/>
        <v>12</v>
      </c>
      <c r="O71">
        <f t="shared" si="4"/>
        <v>13</v>
      </c>
      <c r="P71">
        <f t="shared" si="4"/>
        <v>2</v>
      </c>
      <c r="Q71">
        <f t="shared" si="4"/>
        <v>17</v>
      </c>
      <c r="R71">
        <f t="shared" si="4"/>
        <v>16</v>
      </c>
      <c r="S71">
        <f t="shared" si="4"/>
        <v>3</v>
      </c>
      <c r="T71">
        <f t="shared" si="4"/>
        <v>7</v>
      </c>
      <c r="U71">
        <f t="shared" si="4"/>
        <v>6</v>
      </c>
      <c r="V71">
        <f t="shared" si="4"/>
        <v>10</v>
      </c>
    </row>
    <row r="72" spans="1:22">
      <c r="A72" s="9" t="str">
        <f t="shared" si="1"/>
        <v>LIB</v>
      </c>
      <c r="B72">
        <f t="shared" si="4"/>
        <v>18</v>
      </c>
      <c r="C72">
        <f t="shared" si="4"/>
        <v>10</v>
      </c>
      <c r="D72">
        <f t="shared" si="4"/>
        <v>3</v>
      </c>
      <c r="E72">
        <f t="shared" si="4"/>
        <v>4</v>
      </c>
      <c r="F72">
        <f t="shared" si="4"/>
        <v>4</v>
      </c>
      <c r="G72">
        <f t="shared" si="4"/>
        <v>20</v>
      </c>
      <c r="H72">
        <f t="shared" si="4"/>
        <v>14</v>
      </c>
      <c r="I72">
        <f t="shared" si="4"/>
        <v>21</v>
      </c>
      <c r="J72">
        <f t="shared" si="4"/>
        <v>15</v>
      </c>
      <c r="K72">
        <f t="shared" si="4"/>
        <v>12</v>
      </c>
      <c r="L72">
        <f t="shared" si="4"/>
        <v>2</v>
      </c>
      <c r="M72">
        <f t="shared" si="4"/>
        <v>15</v>
      </c>
      <c r="N72">
        <f t="shared" si="4"/>
        <v>4</v>
      </c>
      <c r="O72">
        <f t="shared" si="4"/>
        <v>12</v>
      </c>
      <c r="P72">
        <f t="shared" si="4"/>
        <v>10</v>
      </c>
      <c r="Q72">
        <f t="shared" si="4"/>
        <v>19</v>
      </c>
      <c r="R72">
        <f t="shared" si="4"/>
        <v>17</v>
      </c>
      <c r="S72">
        <f t="shared" si="4"/>
        <v>7</v>
      </c>
      <c r="T72">
        <f t="shared" si="4"/>
        <v>1</v>
      </c>
      <c r="U72">
        <f t="shared" si="4"/>
        <v>7</v>
      </c>
      <c r="V72">
        <f t="shared" si="4"/>
        <v>7</v>
      </c>
    </row>
    <row r="73" spans="1:22">
      <c r="A73" s="9" t="str">
        <f t="shared" si="1"/>
        <v>LSST</v>
      </c>
      <c r="B73">
        <f t="shared" si="4"/>
        <v>8</v>
      </c>
      <c r="C73">
        <f t="shared" si="4"/>
        <v>4</v>
      </c>
      <c r="D73">
        <f t="shared" si="4"/>
        <v>2</v>
      </c>
      <c r="E73">
        <f t="shared" si="4"/>
        <v>1</v>
      </c>
      <c r="F73">
        <f t="shared" si="4"/>
        <v>3</v>
      </c>
      <c r="G73">
        <f t="shared" si="4"/>
        <v>21</v>
      </c>
      <c r="H73">
        <f t="shared" si="4"/>
        <v>15</v>
      </c>
      <c r="I73">
        <f t="shared" si="4"/>
        <v>20</v>
      </c>
      <c r="J73">
        <f t="shared" si="4"/>
        <v>12</v>
      </c>
      <c r="K73">
        <f t="shared" si="4"/>
        <v>13</v>
      </c>
      <c r="L73">
        <f t="shared" si="4"/>
        <v>9</v>
      </c>
      <c r="M73">
        <f t="shared" si="4"/>
        <v>11</v>
      </c>
      <c r="N73">
        <f t="shared" si="4"/>
        <v>17</v>
      </c>
      <c r="O73">
        <f t="shared" si="4"/>
        <v>16</v>
      </c>
      <c r="P73">
        <f t="shared" si="4"/>
        <v>14</v>
      </c>
      <c r="Q73">
        <f t="shared" si="4"/>
        <v>7</v>
      </c>
      <c r="R73">
        <f t="shared" si="4"/>
        <v>19</v>
      </c>
      <c r="S73">
        <f t="shared" si="4"/>
        <v>18</v>
      </c>
      <c r="T73">
        <f t="shared" si="4"/>
        <v>6</v>
      </c>
      <c r="U73">
        <f t="shared" si="4"/>
        <v>5</v>
      </c>
      <c r="V73">
        <f t="shared" si="4"/>
        <v>10</v>
      </c>
    </row>
    <row r="74" spans="1:22">
      <c r="A74" s="9" t="str">
        <f t="shared" si="1"/>
        <v>MI</v>
      </c>
      <c r="B74">
        <f t="shared" si="4"/>
        <v>20</v>
      </c>
      <c r="C74">
        <f t="shared" si="4"/>
        <v>17</v>
      </c>
      <c r="D74">
        <f t="shared" si="4"/>
        <v>20</v>
      </c>
      <c r="E74">
        <f t="shared" si="4"/>
        <v>17</v>
      </c>
      <c r="F74">
        <f t="shared" si="4"/>
        <v>19</v>
      </c>
      <c r="G74">
        <f t="shared" si="4"/>
        <v>16</v>
      </c>
      <c r="H74">
        <f t="shared" si="4"/>
        <v>4</v>
      </c>
      <c r="I74">
        <f t="shared" si="4"/>
        <v>14</v>
      </c>
      <c r="J74">
        <f t="shared" si="4"/>
        <v>4</v>
      </c>
      <c r="K74">
        <f t="shared" si="4"/>
        <v>7</v>
      </c>
      <c r="L74">
        <f t="shared" si="4"/>
        <v>1</v>
      </c>
      <c r="M74">
        <f t="shared" si="4"/>
        <v>7</v>
      </c>
      <c r="N74">
        <f t="shared" si="4"/>
        <v>15</v>
      </c>
      <c r="O74">
        <f t="shared" si="4"/>
        <v>7</v>
      </c>
      <c r="P74">
        <f t="shared" si="4"/>
        <v>4</v>
      </c>
      <c r="Q74">
        <f t="shared" si="4"/>
        <v>2</v>
      </c>
      <c r="R74">
        <f t="shared" si="4"/>
        <v>7</v>
      </c>
      <c r="S74">
        <f t="shared" si="4"/>
        <v>7</v>
      </c>
      <c r="T74">
        <f t="shared" si="4"/>
        <v>7</v>
      </c>
      <c r="U74">
        <f t="shared" si="4"/>
        <v>7</v>
      </c>
      <c r="V74">
        <f t="shared" si="4"/>
        <v>2</v>
      </c>
    </row>
    <row r="75" spans="1:22">
      <c r="A75" s="9" t="str">
        <f t="shared" si="1"/>
        <v>NATO</v>
      </c>
      <c r="B75">
        <f t="shared" si="4"/>
        <v>20</v>
      </c>
      <c r="C75">
        <f t="shared" si="4"/>
        <v>18</v>
      </c>
      <c r="D75">
        <f t="shared" si="4"/>
        <v>16</v>
      </c>
      <c r="E75">
        <f t="shared" si="4"/>
        <v>17</v>
      </c>
      <c r="F75">
        <f t="shared" si="4"/>
        <v>13</v>
      </c>
      <c r="G75">
        <f t="shared" si="4"/>
        <v>6</v>
      </c>
      <c r="H75">
        <f t="shared" si="4"/>
        <v>5</v>
      </c>
      <c r="I75">
        <f t="shared" si="4"/>
        <v>11</v>
      </c>
      <c r="J75">
        <f t="shared" si="4"/>
        <v>4</v>
      </c>
      <c r="K75">
        <f t="shared" si="4"/>
        <v>10</v>
      </c>
      <c r="L75">
        <f t="shared" si="4"/>
        <v>1</v>
      </c>
      <c r="M75">
        <f t="shared" si="4"/>
        <v>6</v>
      </c>
      <c r="N75">
        <f t="shared" si="4"/>
        <v>6</v>
      </c>
      <c r="O75">
        <f t="shared" si="4"/>
        <v>13</v>
      </c>
      <c r="P75">
        <f t="shared" si="4"/>
        <v>12</v>
      </c>
      <c r="Q75">
        <f t="shared" si="4"/>
        <v>21</v>
      </c>
      <c r="R75">
        <f t="shared" si="4"/>
        <v>6</v>
      </c>
      <c r="S75">
        <f t="shared" si="4"/>
        <v>19</v>
      </c>
      <c r="T75">
        <f t="shared" si="4"/>
        <v>2</v>
      </c>
      <c r="U75">
        <f t="shared" si="4"/>
        <v>15</v>
      </c>
      <c r="V75">
        <f t="shared" si="4"/>
        <v>2</v>
      </c>
    </row>
    <row r="76" spans="1:22">
      <c r="A76" s="9" t="str">
        <f t="shared" si="1"/>
        <v>PD</v>
      </c>
      <c r="B76">
        <f t="shared" si="4"/>
        <v>16</v>
      </c>
      <c r="C76">
        <f t="shared" si="4"/>
        <v>14</v>
      </c>
      <c r="D76">
        <f t="shared" si="4"/>
        <v>17</v>
      </c>
      <c r="E76">
        <f t="shared" ref="E76:V76" si="5">RANK(E32,$B32:$V32)</f>
        <v>15</v>
      </c>
      <c r="F76">
        <f t="shared" si="5"/>
        <v>18</v>
      </c>
      <c r="G76">
        <f t="shared" si="5"/>
        <v>20</v>
      </c>
      <c r="H76">
        <f t="shared" si="5"/>
        <v>19</v>
      </c>
      <c r="I76">
        <f t="shared" si="5"/>
        <v>21</v>
      </c>
      <c r="J76">
        <f t="shared" si="5"/>
        <v>4</v>
      </c>
      <c r="K76">
        <f t="shared" si="5"/>
        <v>8</v>
      </c>
      <c r="L76">
        <f t="shared" si="5"/>
        <v>3</v>
      </c>
      <c r="M76">
        <f t="shared" si="5"/>
        <v>5</v>
      </c>
      <c r="N76">
        <f t="shared" si="5"/>
        <v>5</v>
      </c>
      <c r="O76">
        <f t="shared" si="5"/>
        <v>7</v>
      </c>
      <c r="P76">
        <f t="shared" si="5"/>
        <v>8</v>
      </c>
      <c r="Q76">
        <f t="shared" si="5"/>
        <v>12</v>
      </c>
      <c r="R76">
        <f t="shared" si="5"/>
        <v>8</v>
      </c>
      <c r="S76">
        <f t="shared" si="5"/>
        <v>13</v>
      </c>
      <c r="T76">
        <f t="shared" si="5"/>
        <v>1</v>
      </c>
      <c r="U76">
        <f t="shared" si="5"/>
        <v>8</v>
      </c>
      <c r="V76">
        <f t="shared" si="5"/>
        <v>2</v>
      </c>
    </row>
    <row r="77" spans="1:22">
      <c r="A77" s="9" t="str">
        <f t="shared" si="1"/>
        <v>PS</v>
      </c>
      <c r="B77">
        <f t="shared" ref="B77:V81" si="6">RANK(B33,$B33:$V33)</f>
        <v>10</v>
      </c>
      <c r="C77">
        <f t="shared" si="6"/>
        <v>6</v>
      </c>
      <c r="D77">
        <f t="shared" si="6"/>
        <v>4</v>
      </c>
      <c r="E77">
        <f t="shared" si="6"/>
        <v>2</v>
      </c>
      <c r="F77">
        <f t="shared" si="6"/>
        <v>1</v>
      </c>
      <c r="G77">
        <f t="shared" si="6"/>
        <v>19</v>
      </c>
      <c r="H77">
        <f t="shared" si="6"/>
        <v>8</v>
      </c>
      <c r="I77">
        <f t="shared" si="6"/>
        <v>20</v>
      </c>
      <c r="J77">
        <f t="shared" si="6"/>
        <v>12</v>
      </c>
      <c r="K77">
        <f t="shared" si="6"/>
        <v>15</v>
      </c>
      <c r="L77">
        <f t="shared" si="6"/>
        <v>21</v>
      </c>
      <c r="M77">
        <f t="shared" si="6"/>
        <v>9</v>
      </c>
      <c r="N77">
        <f t="shared" si="6"/>
        <v>17</v>
      </c>
      <c r="O77">
        <f t="shared" si="6"/>
        <v>13</v>
      </c>
      <c r="P77">
        <f t="shared" si="6"/>
        <v>14</v>
      </c>
      <c r="Q77">
        <f t="shared" si="6"/>
        <v>11</v>
      </c>
      <c r="R77">
        <f t="shared" si="6"/>
        <v>16</v>
      </c>
      <c r="S77">
        <f t="shared" si="6"/>
        <v>18</v>
      </c>
      <c r="T77">
        <f t="shared" si="6"/>
        <v>3</v>
      </c>
      <c r="U77">
        <f t="shared" si="6"/>
        <v>7</v>
      </c>
      <c r="V77">
        <f t="shared" si="6"/>
        <v>5</v>
      </c>
    </row>
    <row r="78" spans="1:22">
      <c r="A78" s="9" t="str">
        <f t="shared" si="1"/>
        <v>RS</v>
      </c>
      <c r="B78">
        <f t="shared" si="6"/>
        <v>20</v>
      </c>
      <c r="C78">
        <f t="shared" si="6"/>
        <v>6</v>
      </c>
      <c r="D78">
        <f t="shared" si="6"/>
        <v>8</v>
      </c>
      <c r="E78">
        <f t="shared" si="6"/>
        <v>3</v>
      </c>
      <c r="F78">
        <f t="shared" si="6"/>
        <v>8</v>
      </c>
      <c r="G78">
        <f t="shared" si="6"/>
        <v>21</v>
      </c>
      <c r="H78">
        <f t="shared" si="6"/>
        <v>18</v>
      </c>
      <c r="I78">
        <f t="shared" si="6"/>
        <v>12</v>
      </c>
      <c r="J78">
        <f t="shared" si="6"/>
        <v>10</v>
      </c>
      <c r="K78">
        <f t="shared" si="6"/>
        <v>17</v>
      </c>
      <c r="L78">
        <f t="shared" si="6"/>
        <v>1</v>
      </c>
      <c r="M78">
        <f t="shared" si="6"/>
        <v>3</v>
      </c>
      <c r="N78">
        <f t="shared" si="6"/>
        <v>16</v>
      </c>
      <c r="O78">
        <f t="shared" si="6"/>
        <v>14</v>
      </c>
      <c r="P78">
        <f t="shared" si="6"/>
        <v>11</v>
      </c>
      <c r="Q78">
        <f t="shared" si="6"/>
        <v>14</v>
      </c>
      <c r="R78">
        <f t="shared" si="6"/>
        <v>12</v>
      </c>
      <c r="S78">
        <f t="shared" si="6"/>
        <v>18</v>
      </c>
      <c r="T78">
        <f t="shared" si="6"/>
        <v>3</v>
      </c>
      <c r="U78">
        <f t="shared" si="6"/>
        <v>6</v>
      </c>
      <c r="V78">
        <f t="shared" si="6"/>
        <v>2</v>
      </c>
    </row>
    <row r="79" spans="1:22">
      <c r="A79" s="9" t="str">
        <f t="shared" si="1"/>
        <v>SWJ</v>
      </c>
      <c r="B79">
        <f t="shared" si="6"/>
        <v>21</v>
      </c>
      <c r="C79">
        <f t="shared" si="6"/>
        <v>18</v>
      </c>
      <c r="D79">
        <f t="shared" si="6"/>
        <v>19</v>
      </c>
      <c r="E79">
        <f t="shared" si="6"/>
        <v>19</v>
      </c>
      <c r="F79">
        <f t="shared" si="6"/>
        <v>11</v>
      </c>
      <c r="G79">
        <f t="shared" si="6"/>
        <v>17</v>
      </c>
      <c r="H79">
        <f t="shared" si="6"/>
        <v>4</v>
      </c>
      <c r="I79">
        <f t="shared" si="6"/>
        <v>11</v>
      </c>
      <c r="J79">
        <f t="shared" si="6"/>
        <v>11</v>
      </c>
      <c r="K79">
        <f t="shared" si="6"/>
        <v>2</v>
      </c>
      <c r="L79">
        <f t="shared" si="6"/>
        <v>4</v>
      </c>
      <c r="M79">
        <f t="shared" si="6"/>
        <v>4</v>
      </c>
      <c r="N79">
        <f t="shared" si="6"/>
        <v>11</v>
      </c>
      <c r="O79">
        <f t="shared" si="6"/>
        <v>11</v>
      </c>
      <c r="P79">
        <f t="shared" si="6"/>
        <v>2</v>
      </c>
      <c r="Q79">
        <f t="shared" si="6"/>
        <v>1</v>
      </c>
      <c r="R79">
        <f t="shared" si="6"/>
        <v>4</v>
      </c>
      <c r="S79">
        <f t="shared" si="6"/>
        <v>4</v>
      </c>
      <c r="T79">
        <f t="shared" si="6"/>
        <v>16</v>
      </c>
      <c r="U79">
        <f t="shared" si="6"/>
        <v>4</v>
      </c>
      <c r="V79">
        <f t="shared" si="6"/>
        <v>4</v>
      </c>
    </row>
    <row r="80" spans="1:22">
      <c r="A80" s="9" t="str">
        <f t="shared" si="1"/>
        <v>avg. acc (10)</v>
      </c>
      <c r="B80">
        <f t="shared" si="6"/>
        <v>20</v>
      </c>
      <c r="C80">
        <f t="shared" si="6"/>
        <v>11</v>
      </c>
      <c r="D80">
        <f t="shared" si="6"/>
        <v>3</v>
      </c>
      <c r="E80">
        <f t="shared" si="6"/>
        <v>2</v>
      </c>
      <c r="F80">
        <f t="shared" si="6"/>
        <v>4</v>
      </c>
      <c r="G80">
        <f t="shared" si="6"/>
        <v>19</v>
      </c>
      <c r="H80">
        <f t="shared" si="6"/>
        <v>17</v>
      </c>
      <c r="I80">
        <f t="shared" si="6"/>
        <v>21</v>
      </c>
      <c r="J80">
        <f t="shared" si="6"/>
        <v>9</v>
      </c>
      <c r="K80">
        <f t="shared" si="6"/>
        <v>15</v>
      </c>
      <c r="L80">
        <f t="shared" si="6"/>
        <v>5</v>
      </c>
      <c r="M80">
        <f t="shared" si="6"/>
        <v>10</v>
      </c>
      <c r="N80">
        <f t="shared" si="6"/>
        <v>18</v>
      </c>
      <c r="O80">
        <f t="shared" si="6"/>
        <v>13</v>
      </c>
      <c r="P80">
        <f t="shared" si="6"/>
        <v>8</v>
      </c>
      <c r="Q80">
        <f t="shared" si="6"/>
        <v>16</v>
      </c>
      <c r="R80">
        <f t="shared" si="6"/>
        <v>12</v>
      </c>
      <c r="S80">
        <f t="shared" si="6"/>
        <v>14</v>
      </c>
      <c r="T80">
        <f t="shared" si="6"/>
        <v>7</v>
      </c>
      <c r="U80">
        <f t="shared" si="6"/>
        <v>6</v>
      </c>
      <c r="V80">
        <f t="shared" si="6"/>
        <v>1</v>
      </c>
    </row>
    <row r="81" spans="1:22">
      <c r="A81" s="9" t="str">
        <f t="shared" si="1"/>
        <v>avg. acc</v>
      </c>
      <c r="B81">
        <f t="shared" si="6"/>
        <v>21</v>
      </c>
      <c r="C81">
        <f t="shared" si="6"/>
        <v>18</v>
      </c>
      <c r="D81">
        <f t="shared" si="6"/>
        <v>9</v>
      </c>
      <c r="E81">
        <f t="shared" si="6"/>
        <v>6</v>
      </c>
      <c r="F81">
        <f t="shared" si="6"/>
        <v>10</v>
      </c>
      <c r="G81">
        <f t="shared" si="6"/>
        <v>20</v>
      </c>
      <c r="H81">
        <f t="shared" si="6"/>
        <v>14</v>
      </c>
      <c r="I81">
        <f t="shared" si="6"/>
        <v>19</v>
      </c>
      <c r="J81">
        <f t="shared" si="6"/>
        <v>8</v>
      </c>
      <c r="K81">
        <f t="shared" si="6"/>
        <v>7</v>
      </c>
      <c r="L81">
        <f t="shared" si="6"/>
        <v>11</v>
      </c>
      <c r="M81">
        <f t="shared" si="6"/>
        <v>5</v>
      </c>
      <c r="N81">
        <f t="shared" si="6"/>
        <v>17</v>
      </c>
      <c r="O81">
        <f t="shared" si="6"/>
        <v>13</v>
      </c>
      <c r="P81">
        <f t="shared" si="6"/>
        <v>4</v>
      </c>
      <c r="Q81">
        <f t="shared" si="6"/>
        <v>16</v>
      </c>
      <c r="R81">
        <f t="shared" si="6"/>
        <v>12</v>
      </c>
      <c r="S81">
        <f t="shared" si="6"/>
        <v>15</v>
      </c>
      <c r="T81">
        <f t="shared" si="6"/>
        <v>3</v>
      </c>
      <c r="U81">
        <f t="shared" si="6"/>
        <v>2</v>
      </c>
      <c r="V81">
        <f t="shared" si="6"/>
        <v>1</v>
      </c>
    </row>
    <row r="82" spans="1:22">
      <c r="A82" s="9" t="str">
        <f t="shared" si="1"/>
        <v>avg. rank</v>
      </c>
      <c r="B82">
        <f t="shared" ref="B82:U82" si="7">RANK(B38,$B38:$V38,1)</f>
        <v>20</v>
      </c>
      <c r="C82">
        <f t="shared" si="7"/>
        <v>14</v>
      </c>
      <c r="D82">
        <f t="shared" si="7"/>
        <v>9</v>
      </c>
      <c r="E82">
        <f t="shared" si="7"/>
        <v>8</v>
      </c>
      <c r="F82">
        <f t="shared" si="7"/>
        <v>11</v>
      </c>
      <c r="G82">
        <f t="shared" si="7"/>
        <v>21</v>
      </c>
      <c r="H82">
        <f t="shared" si="7"/>
        <v>15</v>
      </c>
      <c r="I82">
        <f t="shared" si="7"/>
        <v>19</v>
      </c>
      <c r="J82">
        <f t="shared" si="7"/>
        <v>7</v>
      </c>
      <c r="K82">
        <f t="shared" si="7"/>
        <v>10</v>
      </c>
      <c r="L82">
        <f t="shared" si="7"/>
        <v>4</v>
      </c>
      <c r="M82">
        <f t="shared" si="7"/>
        <v>2</v>
      </c>
      <c r="N82">
        <f t="shared" si="7"/>
        <v>17</v>
      </c>
      <c r="O82">
        <f t="shared" si="7"/>
        <v>13</v>
      </c>
      <c r="P82">
        <f t="shared" si="7"/>
        <v>6</v>
      </c>
      <c r="Q82">
        <f t="shared" si="7"/>
        <v>18</v>
      </c>
      <c r="R82">
        <f t="shared" si="7"/>
        <v>12</v>
      </c>
      <c r="S82">
        <f t="shared" si="7"/>
        <v>15</v>
      </c>
      <c r="T82">
        <f t="shared" si="7"/>
        <v>5</v>
      </c>
      <c r="U82">
        <f t="shared" si="7"/>
        <v>3</v>
      </c>
      <c r="V82">
        <f>RANK(V38,$B38:$V38,1)</f>
        <v>1</v>
      </c>
    </row>
    <row r="83" spans="1:22">
      <c r="A83" s="9" t="str">
        <f t="shared" si="1"/>
        <v>\# of top-1</v>
      </c>
      <c r="B83">
        <f t="shared" ref="B83:V85" si="8">RANK(B39,$B39:$V39)</f>
        <v>14</v>
      </c>
      <c r="C83">
        <f t="shared" si="8"/>
        <v>8</v>
      </c>
      <c r="D83">
        <f t="shared" si="8"/>
        <v>7</v>
      </c>
      <c r="E83">
        <f t="shared" si="8"/>
        <v>2</v>
      </c>
      <c r="F83">
        <f t="shared" si="8"/>
        <v>1</v>
      </c>
      <c r="G83">
        <f t="shared" si="8"/>
        <v>20</v>
      </c>
      <c r="H83">
        <f t="shared" si="8"/>
        <v>14</v>
      </c>
      <c r="I83">
        <f t="shared" si="8"/>
        <v>14</v>
      </c>
      <c r="J83">
        <f t="shared" si="8"/>
        <v>8</v>
      </c>
      <c r="K83">
        <f t="shared" si="8"/>
        <v>10</v>
      </c>
      <c r="L83">
        <f t="shared" si="8"/>
        <v>2</v>
      </c>
      <c r="M83">
        <f t="shared" si="8"/>
        <v>10</v>
      </c>
      <c r="N83">
        <f t="shared" si="8"/>
        <v>14</v>
      </c>
      <c r="O83">
        <f t="shared" si="8"/>
        <v>10</v>
      </c>
      <c r="P83">
        <f t="shared" si="8"/>
        <v>14</v>
      </c>
      <c r="Q83">
        <f t="shared" si="8"/>
        <v>10</v>
      </c>
      <c r="R83">
        <f t="shared" si="8"/>
        <v>14</v>
      </c>
      <c r="S83">
        <f t="shared" si="8"/>
        <v>20</v>
      </c>
      <c r="T83">
        <f t="shared" si="8"/>
        <v>2</v>
      </c>
      <c r="U83">
        <f t="shared" si="8"/>
        <v>5</v>
      </c>
      <c r="V83">
        <f t="shared" si="8"/>
        <v>5</v>
      </c>
    </row>
    <row r="84" spans="1:22">
      <c r="A84" s="9" t="str">
        <f t="shared" si="1"/>
        <v>\# of top-5</v>
      </c>
      <c r="B84">
        <f t="shared" si="8"/>
        <v>19</v>
      </c>
      <c r="C84">
        <f t="shared" si="8"/>
        <v>10</v>
      </c>
      <c r="D84">
        <f t="shared" si="8"/>
        <v>4</v>
      </c>
      <c r="E84">
        <f t="shared" si="8"/>
        <v>4</v>
      </c>
      <c r="F84">
        <f t="shared" si="8"/>
        <v>6</v>
      </c>
      <c r="G84">
        <f t="shared" si="8"/>
        <v>21</v>
      </c>
      <c r="H84">
        <f t="shared" si="8"/>
        <v>13</v>
      </c>
      <c r="I84">
        <f t="shared" si="8"/>
        <v>18</v>
      </c>
      <c r="J84">
        <f t="shared" si="8"/>
        <v>11</v>
      </c>
      <c r="K84">
        <f t="shared" si="8"/>
        <v>12</v>
      </c>
      <c r="L84">
        <f t="shared" si="8"/>
        <v>2</v>
      </c>
      <c r="M84">
        <f t="shared" si="8"/>
        <v>6</v>
      </c>
      <c r="N84">
        <f t="shared" si="8"/>
        <v>13</v>
      </c>
      <c r="O84">
        <f t="shared" si="8"/>
        <v>19</v>
      </c>
      <c r="P84">
        <f t="shared" si="8"/>
        <v>6</v>
      </c>
      <c r="Q84">
        <f t="shared" si="8"/>
        <v>16</v>
      </c>
      <c r="R84">
        <f t="shared" si="8"/>
        <v>13</v>
      </c>
      <c r="S84">
        <f t="shared" si="8"/>
        <v>16</v>
      </c>
      <c r="T84">
        <f t="shared" si="8"/>
        <v>3</v>
      </c>
      <c r="U84">
        <f t="shared" si="8"/>
        <v>6</v>
      </c>
      <c r="V84">
        <f t="shared" si="8"/>
        <v>1</v>
      </c>
    </row>
    <row r="85" spans="1:22">
      <c r="A85" s="9" t="str">
        <f>A41</f>
        <v>\# of top-10</v>
      </c>
      <c r="B85">
        <f t="shared" si="8"/>
        <v>20</v>
      </c>
      <c r="C85">
        <f t="shared" si="8"/>
        <v>13</v>
      </c>
      <c r="D85">
        <f t="shared" si="8"/>
        <v>6</v>
      </c>
      <c r="E85">
        <f t="shared" si="8"/>
        <v>8</v>
      </c>
      <c r="F85">
        <f t="shared" si="8"/>
        <v>11</v>
      </c>
      <c r="G85">
        <f t="shared" si="8"/>
        <v>20</v>
      </c>
      <c r="H85">
        <f t="shared" si="8"/>
        <v>15</v>
      </c>
      <c r="I85">
        <f t="shared" si="8"/>
        <v>18</v>
      </c>
      <c r="J85">
        <f t="shared" si="8"/>
        <v>8</v>
      </c>
      <c r="K85">
        <f t="shared" si="8"/>
        <v>11</v>
      </c>
      <c r="L85">
        <f t="shared" si="8"/>
        <v>4</v>
      </c>
      <c r="M85">
        <f t="shared" si="8"/>
        <v>3</v>
      </c>
      <c r="N85">
        <f t="shared" si="8"/>
        <v>16</v>
      </c>
      <c r="O85">
        <f t="shared" si="8"/>
        <v>14</v>
      </c>
      <c r="P85">
        <f t="shared" si="8"/>
        <v>8</v>
      </c>
      <c r="Q85">
        <f t="shared" si="8"/>
        <v>19</v>
      </c>
      <c r="R85">
        <f t="shared" si="8"/>
        <v>7</v>
      </c>
      <c r="S85">
        <f t="shared" si="8"/>
        <v>16</v>
      </c>
      <c r="T85">
        <f t="shared" si="8"/>
        <v>5</v>
      </c>
      <c r="U85">
        <f t="shared" si="8"/>
        <v>2</v>
      </c>
      <c r="V85">
        <f t="shared" si="8"/>
        <v>1</v>
      </c>
    </row>
    <row r="86" spans="1:22">
      <c r="A86" s="9"/>
    </row>
    <row r="87" spans="1:22">
      <c r="A87" s="9"/>
    </row>
    <row r="88" spans="1:22">
      <c r="A88" s="9"/>
    </row>
    <row r="89" spans="1:22">
      <c r="A89" s="9"/>
    </row>
    <row r="90" spans="1:22">
      <c r="A90" s="9"/>
    </row>
    <row r="91" spans="1:22">
      <c r="A91" s="9"/>
    </row>
    <row r="92" spans="1:22">
      <c r="A92" s="9"/>
    </row>
    <row r="93" spans="1:22">
      <c r="A93" s="9"/>
    </row>
    <row r="94" spans="1:22">
      <c r="A94" s="9"/>
    </row>
    <row r="95" spans="1:22">
      <c r="A95" s="9"/>
    </row>
    <row r="96" spans="1:22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</sheetData>
  <mergeCells count="6">
    <mergeCell ref="U4:V4"/>
    <mergeCell ref="B4:F4"/>
    <mergeCell ref="G4:I4"/>
    <mergeCell ref="J4:K4"/>
    <mergeCell ref="L4:M4"/>
    <mergeCell ref="N4:S4"/>
  </mergeCells>
  <phoneticPr fontId="2" type="noConversion"/>
  <conditionalFormatting sqref="A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9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8">
    <cfRule type="colorScale" priority="33">
      <colorScale>
        <cfvo type="min"/>
        <cfvo type="max"/>
        <color theme="8"/>
        <color theme="0"/>
      </colorScale>
    </cfRule>
  </conditionalFormatting>
  <conditionalFormatting sqref="A39">
    <cfRule type="colorScale" priority="35">
      <colorScale>
        <cfvo type="min"/>
        <cfvo type="max"/>
        <color theme="0"/>
        <color theme="8"/>
      </colorScale>
    </cfRule>
  </conditionalFormatting>
  <conditionalFormatting sqref="A40">
    <cfRule type="colorScale" priority="32">
      <colorScale>
        <cfvo type="min"/>
        <cfvo type="max"/>
        <color theme="0"/>
        <color theme="8"/>
      </colorScale>
    </cfRule>
  </conditionalFormatting>
  <conditionalFormatting sqref="A41">
    <cfRule type="colorScale" priority="34">
      <colorScale>
        <cfvo type="min"/>
        <cfvo type="max"/>
        <color theme="0"/>
        <color theme="8"/>
      </colorScale>
    </cfRule>
  </conditionalFormatting>
  <conditionalFormatting sqref="B50:V85">
    <cfRule type="cellIs" dxfId="1" priority="2" operator="equal">
      <formula>1</formula>
    </cfRule>
    <cfRule type="cellIs" dxfId="0" priority="1" operator="equal">
      <formula>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3B93-E487-0647-B67F-CA3FEC15E3BD}">
  <dimension ref="A3:N33"/>
  <sheetViews>
    <sheetView zoomScale="75" workbookViewId="0">
      <selection activeCell="G8" sqref="G8"/>
    </sheetView>
  </sheetViews>
  <sheetFormatPr baseColWidth="10" defaultRowHeight="18"/>
  <cols>
    <col min="1" max="1" width="4.5703125" customWidth="1"/>
    <col min="2" max="2" width="23.28515625" bestFit="1" customWidth="1"/>
    <col min="3" max="3" width="12.5703125" bestFit="1" customWidth="1"/>
    <col min="4" max="4" width="6.28515625" bestFit="1" customWidth="1"/>
    <col min="5" max="5" width="9.7109375" bestFit="1" customWidth="1"/>
    <col min="6" max="6" width="9.140625" bestFit="1" customWidth="1"/>
    <col min="7" max="7" width="11.7109375" bestFit="1" customWidth="1"/>
    <col min="8" max="8" width="25.42578125" bestFit="1" customWidth="1"/>
    <col min="9" max="9" width="24" bestFit="1" customWidth="1"/>
  </cols>
  <sheetData>
    <row r="3" spans="1:14">
      <c r="B3" s="8" t="s">
        <v>66</v>
      </c>
      <c r="C3" s="8" t="s">
        <v>191</v>
      </c>
      <c r="D3" s="8"/>
      <c r="E3" s="8" t="s">
        <v>192</v>
      </c>
      <c r="F3" s="8" t="s">
        <v>193</v>
      </c>
      <c r="G3" s="8" t="s">
        <v>195</v>
      </c>
      <c r="H3" s="8" t="s">
        <v>196</v>
      </c>
      <c r="I3" s="8" t="s">
        <v>194</v>
      </c>
      <c r="J3" s="8"/>
    </row>
    <row r="4" spans="1:14">
      <c r="A4" t="s">
        <v>89</v>
      </c>
      <c r="B4" s="22" t="s">
        <v>91</v>
      </c>
      <c r="C4" s="23" t="s">
        <v>161</v>
      </c>
      <c r="D4" s="22" t="s">
        <v>90</v>
      </c>
      <c r="E4" s="21">
        <v>261</v>
      </c>
      <c r="F4" s="21">
        <v>263</v>
      </c>
      <c r="G4" s="21">
        <v>1751</v>
      </c>
      <c r="H4" s="21">
        <v>3</v>
      </c>
      <c r="I4" s="21">
        <v>4</v>
      </c>
      <c r="L4" t="s">
        <v>159</v>
      </c>
      <c r="M4" t="s">
        <v>90</v>
      </c>
      <c r="N4" t="s">
        <v>160</v>
      </c>
    </row>
    <row r="5" spans="1:14">
      <c r="A5" t="s">
        <v>92</v>
      </c>
      <c r="B5" s="22" t="s">
        <v>93</v>
      </c>
      <c r="C5" s="23" t="s">
        <v>162</v>
      </c>
      <c r="D5" s="22" t="s">
        <v>1</v>
      </c>
      <c r="E5" s="21">
        <v>5890</v>
      </c>
      <c r="F5" s="21">
        <v>3524</v>
      </c>
      <c r="G5" s="21">
        <v>62</v>
      </c>
      <c r="H5" s="21">
        <v>144</v>
      </c>
      <c r="I5" s="21">
        <v>2</v>
      </c>
      <c r="L5" t="s">
        <v>159</v>
      </c>
      <c r="M5" t="s">
        <v>1</v>
      </c>
      <c r="N5" t="s">
        <v>160</v>
      </c>
    </row>
    <row r="6" spans="1:14">
      <c r="A6" t="s">
        <v>94</v>
      </c>
      <c r="B6" s="22" t="s">
        <v>95</v>
      </c>
      <c r="C6" s="23" t="s">
        <v>163</v>
      </c>
      <c r="D6" s="22" t="s">
        <v>2</v>
      </c>
      <c r="E6" s="21">
        <v>150</v>
      </c>
      <c r="F6" s="21">
        <v>850</v>
      </c>
      <c r="G6" s="21">
        <v>152</v>
      </c>
      <c r="H6" s="21">
        <v>3</v>
      </c>
      <c r="I6" s="21">
        <v>26</v>
      </c>
      <c r="L6" t="s">
        <v>159</v>
      </c>
      <c r="M6" t="s">
        <v>2</v>
      </c>
      <c r="N6" t="s">
        <v>160</v>
      </c>
    </row>
    <row r="7" spans="1:14">
      <c r="A7" t="s">
        <v>96</v>
      </c>
      <c r="B7" s="22" t="s">
        <v>97</v>
      </c>
      <c r="C7" s="23" t="s">
        <v>164</v>
      </c>
      <c r="D7" s="22" t="s">
        <v>3</v>
      </c>
      <c r="E7" s="21">
        <v>204</v>
      </c>
      <c r="F7" s="21">
        <v>205</v>
      </c>
      <c r="G7" s="21">
        <v>405</v>
      </c>
      <c r="H7" s="21">
        <v>61</v>
      </c>
      <c r="I7" s="21">
        <v>2</v>
      </c>
      <c r="L7" t="s">
        <v>159</v>
      </c>
      <c r="M7" t="s">
        <v>3</v>
      </c>
      <c r="N7" t="s">
        <v>160</v>
      </c>
    </row>
    <row r="8" spans="1:14">
      <c r="A8" t="s">
        <v>98</v>
      </c>
      <c r="B8" s="22" t="s">
        <v>100</v>
      </c>
      <c r="C8" s="23" t="s">
        <v>165</v>
      </c>
      <c r="D8" s="22" t="s">
        <v>99</v>
      </c>
      <c r="E8" s="21">
        <v>270</v>
      </c>
      <c r="F8" s="21">
        <v>370</v>
      </c>
      <c r="G8" s="24" t="s">
        <v>197</v>
      </c>
      <c r="H8" s="21">
        <v>12</v>
      </c>
      <c r="I8" s="21">
        <v>9</v>
      </c>
      <c r="L8" t="s">
        <v>159</v>
      </c>
      <c r="M8" t="s">
        <v>99</v>
      </c>
      <c r="N8" t="s">
        <v>160</v>
      </c>
    </row>
    <row r="9" spans="1:14">
      <c r="A9" t="s">
        <v>101</v>
      </c>
      <c r="B9" s="22" t="s">
        <v>103</v>
      </c>
      <c r="C9" s="23" t="s">
        <v>166</v>
      </c>
      <c r="D9" s="22" t="s">
        <v>102</v>
      </c>
      <c r="E9" s="21">
        <v>267</v>
      </c>
      <c r="F9" s="21">
        <v>173</v>
      </c>
      <c r="G9" s="21">
        <v>144</v>
      </c>
      <c r="H9" s="21">
        <v>963</v>
      </c>
      <c r="I9" s="21">
        <v>7</v>
      </c>
      <c r="L9" t="s">
        <v>159</v>
      </c>
      <c r="M9" t="s">
        <v>102</v>
      </c>
      <c r="N9" t="s">
        <v>160</v>
      </c>
    </row>
    <row r="10" spans="1:14">
      <c r="A10" t="s">
        <v>104</v>
      </c>
      <c r="B10" s="22" t="s">
        <v>106</v>
      </c>
      <c r="C10" s="23" t="s">
        <v>167</v>
      </c>
      <c r="D10" s="22" t="s">
        <v>105</v>
      </c>
      <c r="E10" s="21">
        <v>268</v>
      </c>
      <c r="F10" s="21">
        <v>293</v>
      </c>
      <c r="G10" s="21">
        <v>896</v>
      </c>
      <c r="H10" s="21">
        <v>6</v>
      </c>
      <c r="I10" s="21">
        <v>2</v>
      </c>
      <c r="L10" t="s">
        <v>159</v>
      </c>
      <c r="M10" t="s">
        <v>105</v>
      </c>
      <c r="N10" t="s">
        <v>160</v>
      </c>
    </row>
    <row r="11" spans="1:14">
      <c r="A11" t="s">
        <v>107</v>
      </c>
      <c r="B11" s="22" t="s">
        <v>109</v>
      </c>
      <c r="C11" s="23" t="s">
        <v>168</v>
      </c>
      <c r="D11" s="22" t="s">
        <v>108</v>
      </c>
      <c r="E11" s="21">
        <v>200</v>
      </c>
      <c r="F11" s="21">
        <v>180</v>
      </c>
      <c r="G11" s="21">
        <v>1152</v>
      </c>
      <c r="H11" s="21">
        <v>7</v>
      </c>
      <c r="I11" s="21">
        <v>2</v>
      </c>
      <c r="L11" t="s">
        <v>159</v>
      </c>
      <c r="M11" t="s">
        <v>108</v>
      </c>
      <c r="N11" t="s">
        <v>160</v>
      </c>
    </row>
    <row r="12" spans="1:14">
      <c r="A12" t="s">
        <v>110</v>
      </c>
      <c r="B12" s="22" t="s">
        <v>112</v>
      </c>
      <c r="C12" s="23" t="s">
        <v>169</v>
      </c>
      <c r="D12" s="22" t="s">
        <v>111</v>
      </c>
      <c r="E12" s="21">
        <v>6599</v>
      </c>
      <c r="F12" s="21">
        <v>2199</v>
      </c>
      <c r="G12" s="24" t="s">
        <v>200</v>
      </c>
      <c r="H12" s="21">
        <v>13</v>
      </c>
      <c r="I12" s="21">
        <v>10</v>
      </c>
      <c r="L12" t="s">
        <v>159</v>
      </c>
      <c r="M12" t="s">
        <v>111</v>
      </c>
      <c r="N12" t="s">
        <v>160</v>
      </c>
    </row>
    <row r="13" spans="1:14">
      <c r="A13" t="s">
        <v>113</v>
      </c>
      <c r="B13" s="22" t="s">
        <v>115</v>
      </c>
      <c r="C13" s="23" t="s">
        <v>170</v>
      </c>
      <c r="D13" s="22" t="s">
        <v>114</v>
      </c>
      <c r="E13" s="21">
        <v>120</v>
      </c>
      <c r="F13" s="21">
        <v>320</v>
      </c>
      <c r="G13" s="21">
        <v>315</v>
      </c>
      <c r="H13" s="21">
        <v>3</v>
      </c>
      <c r="I13" s="21">
        <v>8</v>
      </c>
      <c r="L13" t="s">
        <v>159</v>
      </c>
      <c r="M13" t="s">
        <v>114</v>
      </c>
      <c r="N13" t="s">
        <v>160</v>
      </c>
    </row>
    <row r="14" spans="1:14">
      <c r="A14" t="s">
        <v>116</v>
      </c>
      <c r="B14" s="22" t="s">
        <v>117</v>
      </c>
      <c r="C14" s="23" t="s">
        <v>171</v>
      </c>
      <c r="D14" s="22" t="s">
        <v>4</v>
      </c>
      <c r="E14" s="21">
        <v>275</v>
      </c>
      <c r="F14" s="21">
        <v>300</v>
      </c>
      <c r="G14" s="21">
        <v>144</v>
      </c>
      <c r="H14" s="21">
        <v>9</v>
      </c>
      <c r="I14" s="21">
        <v>25</v>
      </c>
      <c r="L14" t="s">
        <v>159</v>
      </c>
      <c r="M14" t="s">
        <v>4</v>
      </c>
      <c r="N14" t="s">
        <v>160</v>
      </c>
    </row>
    <row r="15" spans="1:14">
      <c r="A15" t="s">
        <v>118</v>
      </c>
      <c r="B15" s="22" t="s">
        <v>119</v>
      </c>
      <c r="C15" s="23" t="s">
        <v>172</v>
      </c>
      <c r="D15" s="22" t="s">
        <v>5</v>
      </c>
      <c r="E15" s="21">
        <v>15</v>
      </c>
      <c r="F15" s="21">
        <v>15</v>
      </c>
      <c r="G15" s="21">
        <v>640</v>
      </c>
      <c r="H15" s="21">
        <v>2</v>
      </c>
      <c r="I15" s="21">
        <v>3</v>
      </c>
      <c r="L15" t="s">
        <v>159</v>
      </c>
      <c r="M15" t="s">
        <v>5</v>
      </c>
      <c r="N15" t="s">
        <v>160</v>
      </c>
    </row>
    <row r="16" spans="1:14">
      <c r="A16" t="s">
        <v>120</v>
      </c>
      <c r="B16" s="22" t="s">
        <v>121</v>
      </c>
      <c r="C16" s="23" t="s">
        <v>173</v>
      </c>
      <c r="D16" s="22" t="s">
        <v>6</v>
      </c>
      <c r="E16" s="21">
        <v>40</v>
      </c>
      <c r="F16" s="21">
        <v>40</v>
      </c>
      <c r="G16" s="21">
        <v>100</v>
      </c>
      <c r="H16" s="21">
        <v>6</v>
      </c>
      <c r="I16" s="21">
        <v>4</v>
      </c>
      <c r="L16" t="s">
        <v>159</v>
      </c>
      <c r="M16" t="s">
        <v>6</v>
      </c>
      <c r="N16" t="s">
        <v>160</v>
      </c>
    </row>
    <row r="17" spans="1:14">
      <c r="A17" t="s">
        <v>122</v>
      </c>
      <c r="B17" s="22" t="s">
        <v>124</v>
      </c>
      <c r="C17" s="23" t="s">
        <v>174</v>
      </c>
      <c r="D17" s="22" t="s">
        <v>123</v>
      </c>
      <c r="E17" s="21">
        <v>1422</v>
      </c>
      <c r="F17" s="21">
        <v>1436</v>
      </c>
      <c r="G17" s="24" t="s">
        <v>198</v>
      </c>
      <c r="H17" s="21">
        <v>3</v>
      </c>
      <c r="I17" s="21">
        <v>20</v>
      </c>
      <c r="L17" t="s">
        <v>159</v>
      </c>
      <c r="M17" t="s">
        <v>123</v>
      </c>
      <c r="N17" t="s">
        <v>160</v>
      </c>
    </row>
    <row r="18" spans="1:14">
      <c r="A18" t="s">
        <v>125</v>
      </c>
      <c r="B18" s="22" t="s">
        <v>126</v>
      </c>
      <c r="C18" s="23" t="s">
        <v>175</v>
      </c>
      <c r="D18" s="22" t="s">
        <v>7</v>
      </c>
      <c r="E18" s="21">
        <v>108</v>
      </c>
      <c r="F18" s="21">
        <v>72</v>
      </c>
      <c r="G18" s="21">
        <v>1197</v>
      </c>
      <c r="H18" s="21">
        <v>6</v>
      </c>
      <c r="I18" s="21">
        <v>12</v>
      </c>
      <c r="L18" t="s">
        <v>159</v>
      </c>
      <c r="M18" t="s">
        <v>7</v>
      </c>
      <c r="N18" t="s">
        <v>160</v>
      </c>
    </row>
    <row r="19" spans="1:14">
      <c r="A19" t="s">
        <v>127</v>
      </c>
      <c r="B19" s="22" t="s">
        <v>128</v>
      </c>
      <c r="C19" s="23" t="s">
        <v>176</v>
      </c>
      <c r="D19" s="22" t="s">
        <v>8</v>
      </c>
      <c r="E19" s="21">
        <v>50</v>
      </c>
      <c r="F19" s="21">
        <v>50</v>
      </c>
      <c r="G19" s="21">
        <v>270</v>
      </c>
      <c r="H19" s="21">
        <v>1345</v>
      </c>
      <c r="I19" s="21">
        <v>5</v>
      </c>
      <c r="L19" t="s">
        <v>159</v>
      </c>
      <c r="M19" t="s">
        <v>8</v>
      </c>
      <c r="N19" t="s">
        <v>160</v>
      </c>
    </row>
    <row r="20" spans="1:14">
      <c r="A20" t="s">
        <v>129</v>
      </c>
      <c r="B20" s="22" t="s">
        <v>130</v>
      </c>
      <c r="C20" s="23" t="s">
        <v>177</v>
      </c>
      <c r="D20" s="22" t="s">
        <v>9</v>
      </c>
      <c r="E20" s="21">
        <v>128</v>
      </c>
      <c r="F20" s="21">
        <v>131</v>
      </c>
      <c r="G20" s="21">
        <v>17984</v>
      </c>
      <c r="H20" s="21">
        <v>6</v>
      </c>
      <c r="I20" s="21">
        <v>5</v>
      </c>
      <c r="L20" t="s">
        <v>159</v>
      </c>
      <c r="M20" t="s">
        <v>9</v>
      </c>
      <c r="N20" t="s">
        <v>160</v>
      </c>
    </row>
    <row r="21" spans="1:14">
      <c r="A21" t="s">
        <v>131</v>
      </c>
      <c r="B21" s="22" t="s">
        <v>132</v>
      </c>
      <c r="C21" s="23" t="s">
        <v>178</v>
      </c>
      <c r="D21" s="22" t="s">
        <v>10</v>
      </c>
      <c r="E21" s="21">
        <v>137</v>
      </c>
      <c r="F21" s="21">
        <v>138</v>
      </c>
      <c r="G21" s="21">
        <v>206</v>
      </c>
      <c r="H21" s="21">
        <v>3</v>
      </c>
      <c r="I21" s="21">
        <v>4</v>
      </c>
      <c r="L21" t="s">
        <v>159</v>
      </c>
      <c r="M21" t="s">
        <v>10</v>
      </c>
      <c r="N21" t="s">
        <v>160</v>
      </c>
    </row>
    <row r="22" spans="1:14">
      <c r="A22" t="s">
        <v>133</v>
      </c>
      <c r="B22" s="22" t="s">
        <v>135</v>
      </c>
      <c r="C22" s="23" t="s">
        <v>179</v>
      </c>
      <c r="D22" s="22" t="s">
        <v>134</v>
      </c>
      <c r="E22" s="21">
        <v>30</v>
      </c>
      <c r="F22" s="21">
        <v>270</v>
      </c>
      <c r="G22" s="21">
        <v>65</v>
      </c>
      <c r="H22" s="21">
        <v>4</v>
      </c>
      <c r="I22" s="21">
        <v>6</v>
      </c>
      <c r="L22" t="s">
        <v>159</v>
      </c>
      <c r="M22" t="s">
        <v>134</v>
      </c>
      <c r="N22" t="s">
        <v>160</v>
      </c>
    </row>
    <row r="23" spans="1:14">
      <c r="A23" t="s">
        <v>136</v>
      </c>
      <c r="B23" s="22" t="s">
        <v>137</v>
      </c>
      <c r="C23" s="23" t="s">
        <v>180</v>
      </c>
      <c r="D23" s="22" t="s">
        <v>11</v>
      </c>
      <c r="E23" s="21">
        <v>316</v>
      </c>
      <c r="F23" s="21">
        <v>100</v>
      </c>
      <c r="G23" s="21">
        <v>50</v>
      </c>
      <c r="H23" s="21">
        <v>28</v>
      </c>
      <c r="I23" s="21">
        <v>2</v>
      </c>
      <c r="L23" t="s">
        <v>159</v>
      </c>
      <c r="M23" t="s">
        <v>11</v>
      </c>
      <c r="N23" t="s">
        <v>160</v>
      </c>
    </row>
    <row r="24" spans="1:14">
      <c r="A24" t="s">
        <v>138</v>
      </c>
      <c r="B24" s="22" t="s">
        <v>139</v>
      </c>
      <c r="C24" s="23" t="s">
        <v>181</v>
      </c>
      <c r="D24" s="22" t="s">
        <v>12</v>
      </c>
      <c r="E24" s="21">
        <v>160</v>
      </c>
      <c r="F24" s="21">
        <v>74</v>
      </c>
      <c r="G24" s="21">
        <v>400</v>
      </c>
      <c r="H24" s="21">
        <v>10</v>
      </c>
      <c r="I24" s="21">
        <v>4</v>
      </c>
      <c r="L24" t="s">
        <v>159</v>
      </c>
      <c r="M24" t="s">
        <v>12</v>
      </c>
      <c r="N24" t="s">
        <v>160</v>
      </c>
    </row>
    <row r="25" spans="1:14">
      <c r="A25" t="s">
        <v>140</v>
      </c>
      <c r="B25" s="22" t="s">
        <v>142</v>
      </c>
      <c r="C25" s="23" t="s">
        <v>182</v>
      </c>
      <c r="D25" s="22" t="s">
        <v>141</v>
      </c>
      <c r="E25" s="21">
        <v>25000</v>
      </c>
      <c r="F25" s="21">
        <v>25000</v>
      </c>
      <c r="G25" s="24" t="s">
        <v>199</v>
      </c>
      <c r="H25" s="21">
        <v>200</v>
      </c>
      <c r="I25" s="21">
        <v>10</v>
      </c>
      <c r="L25" t="s">
        <v>159</v>
      </c>
      <c r="M25" t="s">
        <v>141</v>
      </c>
      <c r="N25" t="s">
        <v>160</v>
      </c>
    </row>
    <row r="26" spans="1:14">
      <c r="A26" t="s">
        <v>143</v>
      </c>
      <c r="B26" s="22" t="s">
        <v>144</v>
      </c>
      <c r="C26" s="23" t="s">
        <v>183</v>
      </c>
      <c r="D26" s="22" t="s">
        <v>13</v>
      </c>
      <c r="E26" s="21">
        <v>180</v>
      </c>
      <c r="F26" s="21">
        <v>180</v>
      </c>
      <c r="G26" s="21">
        <v>45</v>
      </c>
      <c r="H26" s="21">
        <v>2</v>
      </c>
      <c r="I26" s="21">
        <v>15</v>
      </c>
      <c r="L26" t="s">
        <v>159</v>
      </c>
      <c r="M26" t="s">
        <v>13</v>
      </c>
      <c r="N26" t="s">
        <v>160</v>
      </c>
    </row>
    <row r="27" spans="1:14">
      <c r="A27" t="s">
        <v>145</v>
      </c>
      <c r="B27" s="22" t="s">
        <v>14</v>
      </c>
      <c r="C27" s="23" t="s">
        <v>184</v>
      </c>
      <c r="D27" s="22" t="s">
        <v>14</v>
      </c>
      <c r="E27" s="21">
        <v>2459</v>
      </c>
      <c r="F27" s="21">
        <v>2466</v>
      </c>
      <c r="G27" s="21">
        <v>36</v>
      </c>
      <c r="H27" s="21">
        <v>6</v>
      </c>
      <c r="I27" s="21">
        <v>14</v>
      </c>
      <c r="L27" t="s">
        <v>159</v>
      </c>
      <c r="M27" t="s">
        <v>14</v>
      </c>
      <c r="N27" t="s">
        <v>160</v>
      </c>
    </row>
    <row r="28" spans="1:14">
      <c r="A28" t="s">
        <v>146</v>
      </c>
      <c r="B28" s="22" t="s">
        <v>147</v>
      </c>
      <c r="C28" s="23" t="s">
        <v>185</v>
      </c>
      <c r="D28" s="22" t="s">
        <v>15</v>
      </c>
      <c r="E28" s="21">
        <v>278</v>
      </c>
      <c r="F28" s="21">
        <v>100</v>
      </c>
      <c r="G28" s="21">
        <v>3000</v>
      </c>
      <c r="H28" s="21">
        <v>64</v>
      </c>
      <c r="I28" s="21">
        <v>2</v>
      </c>
      <c r="L28" t="s">
        <v>159</v>
      </c>
      <c r="M28" t="s">
        <v>15</v>
      </c>
      <c r="N28" t="s">
        <v>160</v>
      </c>
    </row>
    <row r="29" spans="1:14">
      <c r="A29" t="s">
        <v>148</v>
      </c>
      <c r="B29" s="22" t="s">
        <v>150</v>
      </c>
      <c r="C29" s="23" t="s">
        <v>186</v>
      </c>
      <c r="D29" s="22" t="s">
        <v>149</v>
      </c>
      <c r="E29" s="21">
        <v>180</v>
      </c>
      <c r="F29" s="21">
        <v>180</v>
      </c>
      <c r="G29" s="21">
        <v>51</v>
      </c>
      <c r="H29" s="21">
        <v>24</v>
      </c>
      <c r="I29" s="21">
        <v>6</v>
      </c>
      <c r="L29" t="s">
        <v>159</v>
      </c>
      <c r="M29" t="s">
        <v>149</v>
      </c>
      <c r="N29" t="s">
        <v>160</v>
      </c>
    </row>
    <row r="30" spans="1:14">
      <c r="A30" t="s">
        <v>151</v>
      </c>
      <c r="B30" s="22" t="s">
        <v>152</v>
      </c>
      <c r="C30" s="23" t="s">
        <v>187</v>
      </c>
      <c r="D30" s="22" t="s">
        <v>16</v>
      </c>
      <c r="E30" s="21">
        <v>7494</v>
      </c>
      <c r="F30" s="21">
        <v>3498</v>
      </c>
      <c r="G30" s="21">
        <v>8</v>
      </c>
      <c r="H30" s="21">
        <v>2</v>
      </c>
      <c r="I30" s="21">
        <v>10</v>
      </c>
      <c r="L30" t="s">
        <v>159</v>
      </c>
      <c r="M30" t="s">
        <v>16</v>
      </c>
      <c r="N30" t="s">
        <v>160</v>
      </c>
    </row>
    <row r="31" spans="1:14">
      <c r="A31" t="s">
        <v>153</v>
      </c>
      <c r="B31" s="22" t="s">
        <v>154</v>
      </c>
      <c r="C31" s="23" t="s">
        <v>188</v>
      </c>
      <c r="D31" s="22" t="s">
        <v>17</v>
      </c>
      <c r="E31" s="21">
        <v>3315</v>
      </c>
      <c r="F31" s="21">
        <v>3353</v>
      </c>
      <c r="G31" s="21">
        <v>217</v>
      </c>
      <c r="H31" s="21">
        <v>11</v>
      </c>
      <c r="I31" s="21">
        <v>39</v>
      </c>
      <c r="L31" t="s">
        <v>159</v>
      </c>
      <c r="M31" t="s">
        <v>17</v>
      </c>
      <c r="N31" t="s">
        <v>160</v>
      </c>
    </row>
    <row r="32" spans="1:14">
      <c r="A32" t="s">
        <v>155</v>
      </c>
      <c r="B32" s="22" t="s">
        <v>156</v>
      </c>
      <c r="C32" s="23" t="s">
        <v>189</v>
      </c>
      <c r="D32" s="22" t="s">
        <v>18</v>
      </c>
      <c r="E32" s="21">
        <v>151</v>
      </c>
      <c r="F32" s="21">
        <v>152</v>
      </c>
      <c r="G32" s="21">
        <v>30</v>
      </c>
      <c r="H32" s="21">
        <v>6</v>
      </c>
      <c r="I32" s="21">
        <v>4</v>
      </c>
      <c r="L32" t="s">
        <v>159</v>
      </c>
      <c r="M32" t="s">
        <v>18</v>
      </c>
      <c r="N32" t="s">
        <v>160</v>
      </c>
    </row>
    <row r="33" spans="1:14">
      <c r="A33" t="s">
        <v>157</v>
      </c>
      <c r="B33" s="22" t="s">
        <v>158</v>
      </c>
      <c r="C33" s="23" t="s">
        <v>190</v>
      </c>
      <c r="D33" s="22" t="s">
        <v>19</v>
      </c>
      <c r="E33" s="21">
        <v>12</v>
      </c>
      <c r="F33" s="21">
        <v>15</v>
      </c>
      <c r="G33" s="21">
        <v>2500</v>
      </c>
      <c r="H33" s="21">
        <v>4</v>
      </c>
      <c r="I33" s="21">
        <v>3</v>
      </c>
      <c r="L33" t="s">
        <v>159</v>
      </c>
      <c r="M33" t="s">
        <v>19</v>
      </c>
      <c r="N33" t="s">
        <v>160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UEA30 (colored)</vt:lpstr>
      <vt:lpstr>UEA30</vt:lpstr>
      <vt:lpstr>UEA30 (2)</vt:lpstr>
      <vt:lpstr>UEA description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anonymambasl@gmail.com</dc:creator>
  <cp:keywords/>
  <dc:description/>
  <cp:lastModifiedBy>pamela7384@gmail.com</cp:lastModifiedBy>
  <dcterms:created xsi:type="dcterms:W3CDTF">2025-08-24T20:16:17Z</dcterms:created>
  <dcterms:modified xsi:type="dcterms:W3CDTF">2025-09-22T14:14:24Z</dcterms:modified>
  <cp:category/>
</cp:coreProperties>
</file>