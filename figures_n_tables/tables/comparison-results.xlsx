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_table/"/>
    </mc:Choice>
  </mc:AlternateContent>
  <xr:revisionPtr revIDLastSave="0" documentId="13_ncr:1_{EB3C2A18-3842-E148-9DB2-884ED2499D39}" xr6:coauthVersionLast="47" xr6:coauthVersionMax="47" xr10:uidLastSave="{00000000-0000-0000-0000-000000000000}"/>
  <bookViews>
    <workbookView xWindow="0" yWindow="760" windowWidth="22760" windowHeight="18880" activeTab="1" xr2:uid="{BC76D622-9BC0-A344-B0B3-54E11F39A12E}"/>
  </bookViews>
  <sheets>
    <sheet name="Compare w prev (colored)" sheetId="5" r:id="rId1"/>
    <sheet name="Compare w prev" sheetId="6" r:id="rId2"/>
    <sheet name="Compare w prev (ordered)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3" i="5" l="1"/>
  <c r="AR37" i="5" a="1"/>
  <c r="AR37" i="5" s="1"/>
  <c r="AR36" i="5" a="1"/>
  <c r="AR36" i="5" s="1"/>
  <c r="AR3" i="7"/>
  <c r="AR4" i="7"/>
  <c r="AR5" i="7"/>
  <c r="AS5" i="7"/>
  <c r="AR6" i="7"/>
  <c r="AS6" i="7"/>
  <c r="AR7" i="7"/>
  <c r="AS7" i="7"/>
  <c r="AR8" i="7"/>
  <c r="AS8" i="7"/>
  <c r="AR9" i="7"/>
  <c r="AS9" i="7"/>
  <c r="AR10" i="7"/>
  <c r="AS10" i="7"/>
  <c r="AR11" i="7"/>
  <c r="AS11" i="7"/>
  <c r="AR12" i="7"/>
  <c r="AS12" i="7"/>
  <c r="AR13" i="7"/>
  <c r="AS13" i="7"/>
  <c r="AR14" i="7"/>
  <c r="AS14" i="7"/>
  <c r="AR15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R36" i="7"/>
  <c r="AR37" i="7"/>
  <c r="AR38" i="7"/>
  <c r="AJ3" i="7"/>
  <c r="AL3" i="7"/>
  <c r="AN3" i="7"/>
  <c r="AP3" i="7"/>
  <c r="AJ4" i="7"/>
  <c r="AL4" i="7"/>
  <c r="AN4" i="7"/>
  <c r="AP4" i="7"/>
  <c r="AJ5" i="7"/>
  <c r="AK5" i="7"/>
  <c r="AL5" i="7"/>
  <c r="AM5" i="7"/>
  <c r="AN5" i="7"/>
  <c r="AO5" i="7"/>
  <c r="AP5" i="7"/>
  <c r="AQ5" i="7"/>
  <c r="AJ6" i="7"/>
  <c r="AK6" i="7"/>
  <c r="AL6" i="7"/>
  <c r="AM6" i="7"/>
  <c r="AN6" i="7"/>
  <c r="AO6" i="7"/>
  <c r="AP6" i="7"/>
  <c r="AQ6" i="7"/>
  <c r="AJ7" i="7"/>
  <c r="AK7" i="7"/>
  <c r="AL7" i="7"/>
  <c r="AM7" i="7"/>
  <c r="AN7" i="7"/>
  <c r="AO7" i="7"/>
  <c r="AP7" i="7"/>
  <c r="AQ7" i="7"/>
  <c r="AJ8" i="7"/>
  <c r="AK8" i="7"/>
  <c r="AL8" i="7"/>
  <c r="AM8" i="7"/>
  <c r="AN8" i="7"/>
  <c r="AO8" i="7"/>
  <c r="AP8" i="7"/>
  <c r="AQ8" i="7"/>
  <c r="AJ9" i="7"/>
  <c r="AK9" i="7"/>
  <c r="AL9" i="7"/>
  <c r="AM9" i="7"/>
  <c r="AN9" i="7"/>
  <c r="AO9" i="7"/>
  <c r="AP9" i="7"/>
  <c r="AQ9" i="7"/>
  <c r="AJ10" i="7"/>
  <c r="AK10" i="7"/>
  <c r="AL10" i="7"/>
  <c r="AM10" i="7"/>
  <c r="AN10" i="7"/>
  <c r="AO10" i="7"/>
  <c r="AP10" i="7"/>
  <c r="AQ10" i="7"/>
  <c r="AJ11" i="7"/>
  <c r="AK11" i="7"/>
  <c r="AL11" i="7"/>
  <c r="AM11" i="7"/>
  <c r="AN11" i="7"/>
  <c r="AO11" i="7"/>
  <c r="AP11" i="7"/>
  <c r="AQ11" i="7"/>
  <c r="AJ12" i="7"/>
  <c r="AK12" i="7"/>
  <c r="AL12" i="7"/>
  <c r="AM12" i="7"/>
  <c r="AN12" i="7"/>
  <c r="AO12" i="7"/>
  <c r="AP12" i="7"/>
  <c r="AQ12" i="7"/>
  <c r="AJ13" i="7"/>
  <c r="AK13" i="7"/>
  <c r="AL13" i="7"/>
  <c r="AM13" i="7"/>
  <c r="AN13" i="7"/>
  <c r="AO13" i="7"/>
  <c r="AP13" i="7"/>
  <c r="AQ13" i="7"/>
  <c r="AJ14" i="7"/>
  <c r="AK14" i="7"/>
  <c r="AL14" i="7"/>
  <c r="AM14" i="7"/>
  <c r="AN14" i="7"/>
  <c r="AO14" i="7"/>
  <c r="AP14" i="7"/>
  <c r="AQ14" i="7"/>
  <c r="AJ15" i="7"/>
  <c r="AK15" i="7"/>
  <c r="AL15" i="7"/>
  <c r="AM15" i="7"/>
  <c r="AN15" i="7"/>
  <c r="AO15" i="7"/>
  <c r="AP15" i="7"/>
  <c r="AQ15" i="7"/>
  <c r="AK16" i="7"/>
  <c r="AM16" i="7"/>
  <c r="AN16" i="7"/>
  <c r="AO16" i="7"/>
  <c r="AP16" i="7"/>
  <c r="AQ16" i="7"/>
  <c r="AK17" i="7"/>
  <c r="AM17" i="7"/>
  <c r="AN17" i="7"/>
  <c r="AO17" i="7"/>
  <c r="AP17" i="7"/>
  <c r="AQ17" i="7"/>
  <c r="AK18" i="7"/>
  <c r="AM18" i="7"/>
  <c r="AN18" i="7"/>
  <c r="AO18" i="7"/>
  <c r="AP18" i="7"/>
  <c r="AQ18" i="7"/>
  <c r="AK19" i="7"/>
  <c r="AM19" i="7"/>
  <c r="AN19" i="7"/>
  <c r="AO19" i="7"/>
  <c r="AP19" i="7"/>
  <c r="AQ19" i="7"/>
  <c r="AK20" i="7"/>
  <c r="AM20" i="7"/>
  <c r="AN20" i="7"/>
  <c r="AO20" i="7"/>
  <c r="AP20" i="7"/>
  <c r="AQ20" i="7"/>
  <c r="AK21" i="7"/>
  <c r="AM21" i="7"/>
  <c r="AN21" i="7"/>
  <c r="AO21" i="7"/>
  <c r="AP21" i="7"/>
  <c r="AQ21" i="7"/>
  <c r="AK22" i="7"/>
  <c r="AM22" i="7"/>
  <c r="AN22" i="7"/>
  <c r="AO22" i="7"/>
  <c r="AP22" i="7"/>
  <c r="AQ22" i="7"/>
  <c r="AK23" i="7"/>
  <c r="AM23" i="7"/>
  <c r="AN23" i="7"/>
  <c r="AO23" i="7"/>
  <c r="AP23" i="7"/>
  <c r="AQ23" i="7"/>
  <c r="AK24" i="7"/>
  <c r="AM24" i="7"/>
  <c r="AN24" i="7"/>
  <c r="AO24" i="7"/>
  <c r="AP24" i="7"/>
  <c r="AQ24" i="7"/>
  <c r="AK25" i="7"/>
  <c r="AM25" i="7"/>
  <c r="AN25" i="7"/>
  <c r="AO25" i="7"/>
  <c r="AP25" i="7"/>
  <c r="AQ25" i="7"/>
  <c r="AK26" i="7"/>
  <c r="AM26" i="7"/>
  <c r="AN26" i="7"/>
  <c r="AO26" i="7"/>
  <c r="AP26" i="7"/>
  <c r="AQ26" i="7"/>
  <c r="AK27" i="7"/>
  <c r="AM27" i="7"/>
  <c r="AN27" i="7"/>
  <c r="AO27" i="7"/>
  <c r="AP27" i="7"/>
  <c r="AQ27" i="7"/>
  <c r="AK28" i="7"/>
  <c r="AM28" i="7"/>
  <c r="AN28" i="7"/>
  <c r="AO28" i="7"/>
  <c r="AP28" i="7"/>
  <c r="AQ28" i="7"/>
  <c r="AK29" i="7"/>
  <c r="AM29" i="7"/>
  <c r="AN29" i="7"/>
  <c r="AO29" i="7"/>
  <c r="AP29" i="7"/>
  <c r="AQ29" i="7"/>
  <c r="AK30" i="7"/>
  <c r="AM30" i="7"/>
  <c r="AN30" i="7"/>
  <c r="AO30" i="7"/>
  <c r="AP30" i="7"/>
  <c r="AQ30" i="7"/>
  <c r="AK31" i="7"/>
  <c r="AM31" i="7"/>
  <c r="AN31" i="7"/>
  <c r="AO31" i="7"/>
  <c r="AP31" i="7"/>
  <c r="AQ31" i="7"/>
  <c r="AK32" i="7"/>
  <c r="AM32" i="7"/>
  <c r="AN32" i="7"/>
  <c r="AO32" i="7"/>
  <c r="AP32" i="7"/>
  <c r="AQ32" i="7"/>
  <c r="AK33" i="7"/>
  <c r="AM33" i="7"/>
  <c r="AN33" i="7"/>
  <c r="AO33" i="7"/>
  <c r="AP33" i="7"/>
  <c r="AQ33" i="7"/>
  <c r="AK34" i="7"/>
  <c r="AM34" i="7"/>
  <c r="AN34" i="7"/>
  <c r="AO34" i="7"/>
  <c r="AP34" i="7"/>
  <c r="AQ34" i="7"/>
  <c r="AK35" i="7"/>
  <c r="AM35" i="7"/>
  <c r="AN35" i="7"/>
  <c r="AO35" i="7"/>
  <c r="AP35" i="7"/>
  <c r="AQ35" i="7"/>
  <c r="AJ36" i="7"/>
  <c r="AL36" i="7"/>
  <c r="AN36" i="7"/>
  <c r="AP36" i="7"/>
  <c r="AJ37" i="7"/>
  <c r="AL37" i="7"/>
  <c r="AN37" i="7"/>
  <c r="AP37" i="7"/>
  <c r="AJ38" i="7"/>
  <c r="AL38" i="7"/>
  <c r="AN38" i="7"/>
  <c r="AP38" i="7"/>
  <c r="AD3" i="7"/>
  <c r="AF3" i="7"/>
  <c r="AH3" i="7"/>
  <c r="AD4" i="7"/>
  <c r="AF4" i="7"/>
  <c r="AH4" i="7"/>
  <c r="AD5" i="7"/>
  <c r="AE5" i="7"/>
  <c r="AF5" i="7"/>
  <c r="AG5" i="7"/>
  <c r="AH5" i="7"/>
  <c r="AI5" i="7"/>
  <c r="AD6" i="7"/>
  <c r="AE6" i="7"/>
  <c r="AF6" i="7"/>
  <c r="AG6" i="7"/>
  <c r="AH6" i="7"/>
  <c r="AI6" i="7"/>
  <c r="AD7" i="7"/>
  <c r="AE7" i="7"/>
  <c r="AF7" i="7"/>
  <c r="AG7" i="7"/>
  <c r="AH7" i="7"/>
  <c r="AI7" i="7"/>
  <c r="AD8" i="7"/>
  <c r="AE8" i="7"/>
  <c r="AF8" i="7"/>
  <c r="AG8" i="7"/>
  <c r="AH8" i="7"/>
  <c r="AI8" i="7"/>
  <c r="AD9" i="7"/>
  <c r="AE9" i="7"/>
  <c r="AF9" i="7"/>
  <c r="AG9" i="7"/>
  <c r="AH9" i="7"/>
  <c r="AI9" i="7"/>
  <c r="AD10" i="7"/>
  <c r="AE10" i="7"/>
  <c r="AF10" i="7"/>
  <c r="AG10" i="7"/>
  <c r="AH10" i="7"/>
  <c r="AI10" i="7"/>
  <c r="AD11" i="7"/>
  <c r="AE11" i="7"/>
  <c r="AF11" i="7"/>
  <c r="AG11" i="7"/>
  <c r="AH11" i="7"/>
  <c r="AI11" i="7"/>
  <c r="AD12" i="7"/>
  <c r="AE12" i="7"/>
  <c r="AF12" i="7"/>
  <c r="AG12" i="7"/>
  <c r="AH12" i="7"/>
  <c r="AI12" i="7"/>
  <c r="AD13" i="7"/>
  <c r="AE13" i="7"/>
  <c r="AF13" i="7"/>
  <c r="AG13" i="7"/>
  <c r="AH13" i="7"/>
  <c r="AI13" i="7"/>
  <c r="AD14" i="7"/>
  <c r="AE14" i="7"/>
  <c r="AF14" i="7"/>
  <c r="AG14" i="7"/>
  <c r="AH14" i="7"/>
  <c r="AI14" i="7"/>
  <c r="AD15" i="7"/>
  <c r="AE15" i="7"/>
  <c r="AF15" i="7"/>
  <c r="AG15" i="7"/>
  <c r="AH15" i="7"/>
  <c r="AI15" i="7"/>
  <c r="AD16" i="7"/>
  <c r="AE16" i="7"/>
  <c r="AG16" i="7"/>
  <c r="AI16" i="7"/>
  <c r="AD17" i="7"/>
  <c r="AE17" i="7"/>
  <c r="AG17" i="7"/>
  <c r="AI17" i="7"/>
  <c r="AD18" i="7"/>
  <c r="AE18" i="7"/>
  <c r="AG18" i="7"/>
  <c r="AI18" i="7"/>
  <c r="AD19" i="7"/>
  <c r="AE19" i="7"/>
  <c r="AG19" i="7"/>
  <c r="AI19" i="7"/>
  <c r="AD20" i="7"/>
  <c r="AE20" i="7"/>
  <c r="AG20" i="7"/>
  <c r="AI20" i="7"/>
  <c r="AD21" i="7"/>
  <c r="AE21" i="7"/>
  <c r="AG21" i="7"/>
  <c r="AI21" i="7"/>
  <c r="AD22" i="7"/>
  <c r="AE22" i="7"/>
  <c r="AG22" i="7"/>
  <c r="AI22" i="7"/>
  <c r="AD23" i="7"/>
  <c r="AE23" i="7"/>
  <c r="AG23" i="7"/>
  <c r="AI23" i="7"/>
  <c r="AD24" i="7"/>
  <c r="AE24" i="7"/>
  <c r="AG24" i="7"/>
  <c r="AI24" i="7"/>
  <c r="AD25" i="7"/>
  <c r="AE25" i="7"/>
  <c r="AG25" i="7"/>
  <c r="AI25" i="7"/>
  <c r="AD26" i="7"/>
  <c r="AE26" i="7"/>
  <c r="AG26" i="7"/>
  <c r="AI26" i="7"/>
  <c r="AD27" i="7"/>
  <c r="AE27" i="7"/>
  <c r="AG27" i="7"/>
  <c r="AI27" i="7"/>
  <c r="AD28" i="7"/>
  <c r="AE28" i="7"/>
  <c r="AG28" i="7"/>
  <c r="AI28" i="7"/>
  <c r="AD29" i="7"/>
  <c r="AE29" i="7"/>
  <c r="AG29" i="7"/>
  <c r="AI29" i="7"/>
  <c r="AD30" i="7"/>
  <c r="AE30" i="7"/>
  <c r="AG30" i="7"/>
  <c r="AI30" i="7"/>
  <c r="AD31" i="7"/>
  <c r="AE31" i="7"/>
  <c r="AG31" i="7"/>
  <c r="AI31" i="7"/>
  <c r="AD32" i="7"/>
  <c r="AE32" i="7"/>
  <c r="AG32" i="7"/>
  <c r="AI32" i="7"/>
  <c r="AD33" i="7"/>
  <c r="AE33" i="7"/>
  <c r="AG33" i="7"/>
  <c r="AI33" i="7"/>
  <c r="AD34" i="7"/>
  <c r="AE34" i="7"/>
  <c r="AG34" i="7"/>
  <c r="AI34" i="7"/>
  <c r="AD35" i="7"/>
  <c r="AE35" i="7"/>
  <c r="AG35" i="7"/>
  <c r="AI35" i="7"/>
  <c r="AD36" i="7"/>
  <c r="AF36" i="7"/>
  <c r="AH36" i="7"/>
  <c r="AD37" i="7"/>
  <c r="AF37" i="7"/>
  <c r="AH37" i="7"/>
  <c r="AD38" i="7"/>
  <c r="AF38" i="7"/>
  <c r="AH38" i="7"/>
  <c r="AA3" i="7"/>
  <c r="AA4" i="7"/>
  <c r="AA5" i="7"/>
  <c r="AB5" i="7"/>
  <c r="AC5" i="7"/>
  <c r="AA6" i="7"/>
  <c r="AB6" i="7"/>
  <c r="AC6" i="7"/>
  <c r="AA7" i="7"/>
  <c r="AB7" i="7"/>
  <c r="AC7" i="7"/>
  <c r="AA8" i="7"/>
  <c r="AB8" i="7"/>
  <c r="AC8" i="7"/>
  <c r="AA9" i="7"/>
  <c r="AB9" i="7"/>
  <c r="AC9" i="7"/>
  <c r="AA10" i="7"/>
  <c r="AB10" i="7"/>
  <c r="AC10" i="7"/>
  <c r="AA11" i="7"/>
  <c r="AB11" i="7"/>
  <c r="AC11" i="7"/>
  <c r="AA12" i="7"/>
  <c r="AB12" i="7"/>
  <c r="AC12" i="7"/>
  <c r="AA13" i="7"/>
  <c r="AB13" i="7"/>
  <c r="AC13" i="7"/>
  <c r="AA14" i="7"/>
  <c r="AB14" i="7"/>
  <c r="AC14" i="7"/>
  <c r="AA15" i="7"/>
  <c r="AB15" i="7"/>
  <c r="AC15" i="7"/>
  <c r="AB16" i="7"/>
  <c r="AC16" i="7"/>
  <c r="AB17" i="7"/>
  <c r="AC17" i="7"/>
  <c r="AB18" i="7"/>
  <c r="AC18" i="7"/>
  <c r="AB19" i="7"/>
  <c r="AC19" i="7"/>
  <c r="AB20" i="7"/>
  <c r="AC20" i="7"/>
  <c r="AB21" i="7"/>
  <c r="AC21" i="7"/>
  <c r="AB22" i="7"/>
  <c r="AC22" i="7"/>
  <c r="AB23" i="7"/>
  <c r="AC23" i="7"/>
  <c r="AB24" i="7"/>
  <c r="AC24" i="7"/>
  <c r="AB25" i="7"/>
  <c r="AC25" i="7"/>
  <c r="AB26" i="7"/>
  <c r="AC26" i="7"/>
  <c r="AB27" i="7"/>
  <c r="AC27" i="7"/>
  <c r="AB28" i="7"/>
  <c r="AC28" i="7"/>
  <c r="AB29" i="7"/>
  <c r="AC29" i="7"/>
  <c r="AB30" i="7"/>
  <c r="AC30" i="7"/>
  <c r="AB31" i="7"/>
  <c r="AC31" i="7"/>
  <c r="AB32" i="7"/>
  <c r="AC32" i="7"/>
  <c r="AB33" i="7"/>
  <c r="AC33" i="7"/>
  <c r="AB34" i="7"/>
  <c r="AC34" i="7"/>
  <c r="AB35" i="7"/>
  <c r="AC35" i="7"/>
  <c r="AA36" i="7"/>
  <c r="AB36" i="7"/>
  <c r="AA37" i="7"/>
  <c r="AB37" i="7"/>
  <c r="AA38" i="7"/>
  <c r="AB38" i="7"/>
  <c r="P3" i="7"/>
  <c r="S3" i="7"/>
  <c r="V3" i="7"/>
  <c r="Y3" i="7"/>
  <c r="P4" i="7"/>
  <c r="S4" i="7"/>
  <c r="V4" i="7"/>
  <c r="Y4" i="7"/>
  <c r="P5" i="7"/>
  <c r="Q5" i="7"/>
  <c r="R5" i="7"/>
  <c r="S5" i="7"/>
  <c r="T5" i="7"/>
  <c r="U5" i="7"/>
  <c r="V5" i="7"/>
  <c r="W5" i="7"/>
  <c r="X5" i="7"/>
  <c r="Y5" i="7"/>
  <c r="Z5" i="7"/>
  <c r="P6" i="7"/>
  <c r="Q6" i="7"/>
  <c r="R6" i="7"/>
  <c r="S6" i="7"/>
  <c r="T6" i="7"/>
  <c r="U6" i="7"/>
  <c r="V6" i="7"/>
  <c r="X6" i="7"/>
  <c r="Y6" i="7"/>
  <c r="Z6" i="7"/>
  <c r="P7" i="7"/>
  <c r="Q7" i="7"/>
  <c r="R7" i="7"/>
  <c r="S7" i="7"/>
  <c r="T7" i="7"/>
  <c r="U7" i="7"/>
  <c r="V7" i="7"/>
  <c r="X7" i="7"/>
  <c r="Y7" i="7"/>
  <c r="Z7" i="7"/>
  <c r="P8" i="7"/>
  <c r="Q8" i="7"/>
  <c r="R8" i="7"/>
  <c r="S8" i="7"/>
  <c r="T8" i="7"/>
  <c r="U8" i="7"/>
  <c r="V8" i="7"/>
  <c r="X8" i="7"/>
  <c r="Y8" i="7"/>
  <c r="Z8" i="7"/>
  <c r="P9" i="7"/>
  <c r="Q9" i="7"/>
  <c r="R9" i="7"/>
  <c r="S9" i="7"/>
  <c r="T9" i="7"/>
  <c r="U9" i="7"/>
  <c r="V9" i="7"/>
  <c r="X9" i="7"/>
  <c r="Y9" i="7"/>
  <c r="Z9" i="7"/>
  <c r="P10" i="7"/>
  <c r="Q10" i="7"/>
  <c r="R10" i="7"/>
  <c r="S10" i="7"/>
  <c r="T10" i="7"/>
  <c r="U10" i="7"/>
  <c r="V10" i="7"/>
  <c r="X10" i="7"/>
  <c r="Y10" i="7"/>
  <c r="Z10" i="7"/>
  <c r="P11" i="7"/>
  <c r="Q11" i="7"/>
  <c r="R11" i="7"/>
  <c r="S11" i="7"/>
  <c r="T11" i="7"/>
  <c r="U11" i="7"/>
  <c r="V11" i="7"/>
  <c r="X11" i="7"/>
  <c r="Y11" i="7"/>
  <c r="Z11" i="7"/>
  <c r="P12" i="7"/>
  <c r="Q12" i="7"/>
  <c r="R12" i="7"/>
  <c r="S12" i="7"/>
  <c r="T12" i="7"/>
  <c r="U12" i="7"/>
  <c r="V12" i="7"/>
  <c r="X12" i="7"/>
  <c r="Y12" i="7"/>
  <c r="Z12" i="7"/>
  <c r="P13" i="7"/>
  <c r="Q13" i="7"/>
  <c r="R13" i="7"/>
  <c r="S13" i="7"/>
  <c r="T13" i="7"/>
  <c r="U13" i="7"/>
  <c r="V13" i="7"/>
  <c r="X13" i="7"/>
  <c r="Y13" i="7"/>
  <c r="Z13" i="7"/>
  <c r="P14" i="7"/>
  <c r="Q14" i="7"/>
  <c r="R14" i="7"/>
  <c r="S14" i="7"/>
  <c r="T14" i="7"/>
  <c r="U14" i="7"/>
  <c r="V14" i="7"/>
  <c r="X14" i="7"/>
  <c r="Y14" i="7"/>
  <c r="Z14" i="7"/>
  <c r="P15" i="7"/>
  <c r="Q15" i="7"/>
  <c r="R15" i="7"/>
  <c r="S15" i="7"/>
  <c r="T15" i="7"/>
  <c r="U15" i="7"/>
  <c r="V15" i="7"/>
  <c r="X15" i="7"/>
  <c r="Y15" i="7"/>
  <c r="Z15" i="7"/>
  <c r="Q16" i="7"/>
  <c r="R16" i="7"/>
  <c r="U16" i="7"/>
  <c r="V16" i="7"/>
  <c r="X16" i="7"/>
  <c r="Z16" i="7"/>
  <c r="Q17" i="7"/>
  <c r="R17" i="7"/>
  <c r="U17" i="7"/>
  <c r="V17" i="7"/>
  <c r="X17" i="7"/>
  <c r="Z17" i="7"/>
  <c r="Q18" i="7"/>
  <c r="R18" i="7"/>
  <c r="U18" i="7"/>
  <c r="V18" i="7"/>
  <c r="X18" i="7"/>
  <c r="Z18" i="7"/>
  <c r="Q19" i="7"/>
  <c r="R19" i="7"/>
  <c r="U19" i="7"/>
  <c r="W19" i="7"/>
  <c r="X19" i="7"/>
  <c r="Z19" i="7"/>
  <c r="Q20" i="7"/>
  <c r="R20" i="7"/>
  <c r="U20" i="7"/>
  <c r="V20" i="7"/>
  <c r="X20" i="7"/>
  <c r="Z20" i="7"/>
  <c r="Q21" i="7"/>
  <c r="R21" i="7"/>
  <c r="U21" i="7"/>
  <c r="W21" i="7"/>
  <c r="X21" i="7"/>
  <c r="Z21" i="7"/>
  <c r="Q22" i="7"/>
  <c r="R22" i="7"/>
  <c r="U22" i="7"/>
  <c r="W22" i="7"/>
  <c r="X22" i="7"/>
  <c r="Z22" i="7"/>
  <c r="Q23" i="7"/>
  <c r="R23" i="7"/>
  <c r="U23" i="7"/>
  <c r="V23" i="7"/>
  <c r="X23" i="7"/>
  <c r="Z23" i="7"/>
  <c r="Q24" i="7"/>
  <c r="R24" i="7"/>
  <c r="U24" i="7"/>
  <c r="W24" i="7"/>
  <c r="X24" i="7"/>
  <c r="Z24" i="7"/>
  <c r="Q25" i="7"/>
  <c r="R25" i="7"/>
  <c r="U25" i="7"/>
  <c r="V25" i="7"/>
  <c r="X25" i="7"/>
  <c r="Z25" i="7"/>
  <c r="Q26" i="7"/>
  <c r="R26" i="7"/>
  <c r="U26" i="7"/>
  <c r="V26" i="7"/>
  <c r="X26" i="7"/>
  <c r="Z26" i="7"/>
  <c r="Q27" i="7"/>
  <c r="R27" i="7"/>
  <c r="U27" i="7"/>
  <c r="V27" i="7"/>
  <c r="X27" i="7"/>
  <c r="Z27" i="7"/>
  <c r="Q28" i="7"/>
  <c r="R28" i="7"/>
  <c r="U28" i="7"/>
  <c r="V28" i="7"/>
  <c r="X28" i="7"/>
  <c r="Z28" i="7"/>
  <c r="Q29" i="7"/>
  <c r="R29" i="7"/>
  <c r="U29" i="7"/>
  <c r="V29" i="7"/>
  <c r="X29" i="7"/>
  <c r="Z29" i="7"/>
  <c r="Q30" i="7"/>
  <c r="R30" i="7"/>
  <c r="U30" i="7"/>
  <c r="V30" i="7"/>
  <c r="X30" i="7"/>
  <c r="Z30" i="7"/>
  <c r="Q31" i="7"/>
  <c r="R31" i="7"/>
  <c r="U31" i="7"/>
  <c r="V31" i="7"/>
  <c r="X31" i="7"/>
  <c r="Z31" i="7"/>
  <c r="Q32" i="7"/>
  <c r="R32" i="7"/>
  <c r="U32" i="7"/>
  <c r="V32" i="7"/>
  <c r="X32" i="7"/>
  <c r="Z32" i="7"/>
  <c r="Q33" i="7"/>
  <c r="R33" i="7"/>
  <c r="U33" i="7"/>
  <c r="V33" i="7"/>
  <c r="X33" i="7"/>
  <c r="Z33" i="7"/>
  <c r="Q34" i="7"/>
  <c r="R34" i="7"/>
  <c r="U34" i="7"/>
  <c r="V34" i="7"/>
  <c r="X34" i="7"/>
  <c r="Z34" i="7"/>
  <c r="Q35" i="7"/>
  <c r="R35" i="7"/>
  <c r="U35" i="7"/>
  <c r="V35" i="7"/>
  <c r="X35" i="7"/>
  <c r="Z35" i="7"/>
  <c r="P36" i="7"/>
  <c r="Q36" i="7"/>
  <c r="S36" i="7"/>
  <c r="T36" i="7"/>
  <c r="V36" i="7"/>
  <c r="W36" i="7"/>
  <c r="Y36" i="7"/>
  <c r="P37" i="7"/>
  <c r="Q37" i="7"/>
  <c r="S37" i="7"/>
  <c r="T37" i="7"/>
  <c r="V37" i="7"/>
  <c r="W37" i="7"/>
  <c r="Y37" i="7"/>
  <c r="P38" i="7"/>
  <c r="Q38" i="7"/>
  <c r="S38" i="7"/>
  <c r="T38" i="7"/>
  <c r="V38" i="7"/>
  <c r="W38" i="7"/>
  <c r="Y38" i="7"/>
  <c r="L3" i="7"/>
  <c r="N3" i="7"/>
  <c r="L4" i="7"/>
  <c r="N4" i="7"/>
  <c r="L5" i="7"/>
  <c r="M5" i="7"/>
  <c r="N5" i="7"/>
  <c r="O5" i="7"/>
  <c r="L6" i="7"/>
  <c r="M6" i="7"/>
  <c r="N6" i="7"/>
  <c r="O6" i="7"/>
  <c r="L7" i="7"/>
  <c r="M7" i="7"/>
  <c r="N7" i="7"/>
  <c r="O7" i="7"/>
  <c r="L8" i="7"/>
  <c r="M8" i="7"/>
  <c r="N8" i="7"/>
  <c r="O8" i="7"/>
  <c r="L9" i="7"/>
  <c r="M9" i="7"/>
  <c r="N9" i="7"/>
  <c r="O9" i="7"/>
  <c r="L10" i="7"/>
  <c r="M10" i="7"/>
  <c r="N10" i="7"/>
  <c r="O10" i="7"/>
  <c r="L11" i="7"/>
  <c r="M11" i="7"/>
  <c r="N11" i="7"/>
  <c r="O11" i="7"/>
  <c r="L12" i="7"/>
  <c r="M12" i="7"/>
  <c r="N12" i="7"/>
  <c r="O12" i="7"/>
  <c r="L13" i="7"/>
  <c r="M13" i="7"/>
  <c r="N13" i="7"/>
  <c r="O13" i="7"/>
  <c r="L14" i="7"/>
  <c r="M14" i="7"/>
  <c r="N14" i="7"/>
  <c r="O14" i="7"/>
  <c r="L15" i="7"/>
  <c r="M15" i="7"/>
  <c r="N15" i="7"/>
  <c r="O15" i="7"/>
  <c r="L16" i="7"/>
  <c r="M16" i="7"/>
  <c r="N16" i="7"/>
  <c r="O16" i="7"/>
  <c r="L17" i="7"/>
  <c r="M17" i="7"/>
  <c r="N17" i="7"/>
  <c r="O17" i="7"/>
  <c r="L18" i="7"/>
  <c r="M18" i="7"/>
  <c r="N18" i="7"/>
  <c r="O18" i="7"/>
  <c r="L19" i="7"/>
  <c r="M19" i="7"/>
  <c r="N19" i="7"/>
  <c r="O19" i="7"/>
  <c r="L20" i="7"/>
  <c r="M20" i="7"/>
  <c r="N20" i="7"/>
  <c r="O20" i="7"/>
  <c r="L21" i="7"/>
  <c r="M21" i="7"/>
  <c r="N21" i="7"/>
  <c r="O21" i="7"/>
  <c r="L22" i="7"/>
  <c r="M22" i="7"/>
  <c r="N22" i="7"/>
  <c r="O22" i="7"/>
  <c r="L23" i="7"/>
  <c r="M23" i="7"/>
  <c r="N23" i="7"/>
  <c r="O23" i="7"/>
  <c r="L24" i="7"/>
  <c r="M24" i="7"/>
  <c r="N24" i="7"/>
  <c r="O24" i="7"/>
  <c r="L25" i="7"/>
  <c r="M25" i="7"/>
  <c r="N25" i="7"/>
  <c r="O25" i="7"/>
  <c r="L26" i="7"/>
  <c r="M26" i="7"/>
  <c r="N26" i="7"/>
  <c r="O26" i="7"/>
  <c r="L27" i="7"/>
  <c r="M27" i="7"/>
  <c r="L28" i="7"/>
  <c r="M28" i="7"/>
  <c r="N28" i="7"/>
  <c r="O28" i="7"/>
  <c r="L29" i="7"/>
  <c r="M29" i="7"/>
  <c r="N29" i="7"/>
  <c r="O29" i="7"/>
  <c r="L30" i="7"/>
  <c r="M30" i="7"/>
  <c r="N30" i="7"/>
  <c r="O30" i="7"/>
  <c r="L31" i="7"/>
  <c r="M31" i="7"/>
  <c r="N31" i="7"/>
  <c r="O31" i="7"/>
  <c r="L32" i="7"/>
  <c r="M32" i="7"/>
  <c r="N32" i="7"/>
  <c r="O32" i="7"/>
  <c r="L33" i="7"/>
  <c r="M33" i="7"/>
  <c r="N33" i="7"/>
  <c r="O33" i="7"/>
  <c r="L34" i="7"/>
  <c r="M34" i="7"/>
  <c r="N34" i="7"/>
  <c r="O34" i="7"/>
  <c r="L35" i="7"/>
  <c r="M35" i="7"/>
  <c r="N35" i="7"/>
  <c r="O35" i="7"/>
  <c r="L36" i="7"/>
  <c r="L37" i="7"/>
  <c r="L38" i="7"/>
  <c r="B3" i="7"/>
  <c r="D3" i="7"/>
  <c r="F3" i="7"/>
  <c r="H3" i="7"/>
  <c r="J3" i="7"/>
  <c r="B4" i="7"/>
  <c r="D4" i="7"/>
  <c r="F4" i="7"/>
  <c r="H4" i="7"/>
  <c r="J4" i="7"/>
  <c r="B5" i="7"/>
  <c r="C5" i="7"/>
  <c r="D5" i="7"/>
  <c r="E5" i="7"/>
  <c r="F5" i="7"/>
  <c r="G5" i="7"/>
  <c r="H5" i="7"/>
  <c r="I5" i="7"/>
  <c r="J5" i="7"/>
  <c r="K5" i="7"/>
  <c r="B6" i="7"/>
  <c r="C6" i="7"/>
  <c r="D6" i="7"/>
  <c r="E6" i="7"/>
  <c r="F6" i="7"/>
  <c r="G6" i="7"/>
  <c r="H6" i="7"/>
  <c r="I6" i="7"/>
  <c r="J6" i="7"/>
  <c r="K6" i="7"/>
  <c r="B7" i="7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C19" i="7"/>
  <c r="D19" i="7"/>
  <c r="E19" i="7"/>
  <c r="G19" i="7"/>
  <c r="H19" i="7"/>
  <c r="I19" i="7"/>
  <c r="J19" i="7"/>
  <c r="K19" i="7"/>
  <c r="C20" i="7"/>
  <c r="D20" i="7"/>
  <c r="E20" i="7"/>
  <c r="F20" i="7"/>
  <c r="G20" i="7"/>
  <c r="H20" i="7"/>
  <c r="I20" i="7"/>
  <c r="J20" i="7"/>
  <c r="K20" i="7"/>
  <c r="C21" i="7"/>
  <c r="D21" i="7"/>
  <c r="E21" i="7"/>
  <c r="F21" i="7"/>
  <c r="G21" i="7"/>
  <c r="H21" i="7"/>
  <c r="I21" i="7"/>
  <c r="J21" i="7"/>
  <c r="K21" i="7"/>
  <c r="C22" i="7"/>
  <c r="D22" i="7"/>
  <c r="E22" i="7"/>
  <c r="F22" i="7"/>
  <c r="G22" i="7"/>
  <c r="H22" i="7"/>
  <c r="I22" i="7"/>
  <c r="J22" i="7"/>
  <c r="K22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C25" i="7"/>
  <c r="D25" i="7"/>
  <c r="E25" i="7"/>
  <c r="F25" i="7"/>
  <c r="G25" i="7"/>
  <c r="H25" i="7"/>
  <c r="I25" i="7"/>
  <c r="J25" i="7"/>
  <c r="K25" i="7"/>
  <c r="C26" i="7"/>
  <c r="D26" i="7"/>
  <c r="E26" i="7"/>
  <c r="F26" i="7"/>
  <c r="G26" i="7"/>
  <c r="H26" i="7"/>
  <c r="I26" i="7"/>
  <c r="J26" i="7"/>
  <c r="K26" i="7"/>
  <c r="C27" i="7"/>
  <c r="D27" i="7"/>
  <c r="E27" i="7"/>
  <c r="G27" i="7"/>
  <c r="H27" i="7"/>
  <c r="I27" i="7"/>
  <c r="J27" i="7"/>
  <c r="K27" i="7"/>
  <c r="C28" i="7"/>
  <c r="D28" i="7"/>
  <c r="E28" i="7"/>
  <c r="F28" i="7"/>
  <c r="G28" i="7"/>
  <c r="H28" i="7"/>
  <c r="I28" i="7"/>
  <c r="J28" i="7"/>
  <c r="K28" i="7"/>
  <c r="C29" i="7"/>
  <c r="D29" i="7"/>
  <c r="E29" i="7"/>
  <c r="F29" i="7"/>
  <c r="G29" i="7"/>
  <c r="H29" i="7"/>
  <c r="I29" i="7"/>
  <c r="J29" i="7"/>
  <c r="K29" i="7"/>
  <c r="C30" i="7"/>
  <c r="D30" i="7"/>
  <c r="E30" i="7"/>
  <c r="F30" i="7"/>
  <c r="G30" i="7"/>
  <c r="H30" i="7"/>
  <c r="I30" i="7"/>
  <c r="J30" i="7"/>
  <c r="K30" i="7"/>
  <c r="C31" i="7"/>
  <c r="D31" i="7"/>
  <c r="E31" i="7"/>
  <c r="F31" i="7"/>
  <c r="G31" i="7"/>
  <c r="H31" i="7"/>
  <c r="I31" i="7"/>
  <c r="J31" i="7"/>
  <c r="K31" i="7"/>
  <c r="C32" i="7"/>
  <c r="D32" i="7"/>
  <c r="E32" i="7"/>
  <c r="F32" i="7"/>
  <c r="G32" i="7"/>
  <c r="H32" i="7"/>
  <c r="I32" i="7"/>
  <c r="J32" i="7"/>
  <c r="K32" i="7"/>
  <c r="C33" i="7"/>
  <c r="D33" i="7"/>
  <c r="E33" i="7"/>
  <c r="F33" i="7"/>
  <c r="G33" i="7"/>
  <c r="H33" i="7"/>
  <c r="I33" i="7"/>
  <c r="J33" i="7"/>
  <c r="K33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B36" i="7"/>
  <c r="D36" i="7"/>
  <c r="F36" i="7"/>
  <c r="H36" i="7"/>
  <c r="J36" i="7"/>
  <c r="K36" i="7"/>
  <c r="B37" i="7"/>
  <c r="D37" i="7"/>
  <c r="F37" i="7"/>
  <c r="H37" i="7"/>
  <c r="J37" i="7"/>
  <c r="K37" i="7"/>
  <c r="B38" i="7"/>
  <c r="D38" i="7"/>
  <c r="F38" i="7"/>
  <c r="H38" i="7"/>
  <c r="J38" i="7"/>
  <c r="K38" i="7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B10" i="6"/>
  <c r="C10" i="6"/>
  <c r="D10" i="6"/>
  <c r="E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B14" i="6"/>
  <c r="C14" i="6"/>
  <c r="D14" i="6"/>
  <c r="E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C16" i="6"/>
  <c r="D16" i="6"/>
  <c r="E16" i="6"/>
  <c r="F16" i="6"/>
  <c r="G16" i="6"/>
  <c r="H16" i="6"/>
  <c r="I16" i="6"/>
  <c r="J16" i="6"/>
  <c r="K16" i="6"/>
  <c r="L16" i="6"/>
  <c r="M16" i="6"/>
  <c r="O16" i="6"/>
  <c r="Q16" i="6"/>
  <c r="S16" i="6"/>
  <c r="T16" i="6"/>
  <c r="W16" i="6"/>
  <c r="X16" i="6"/>
  <c r="Z16" i="6"/>
  <c r="AB16" i="6"/>
  <c r="AD16" i="6"/>
  <c r="AF16" i="6"/>
  <c r="AG16" i="6"/>
  <c r="AH16" i="6"/>
  <c r="AI16" i="6"/>
  <c r="AJ16" i="6"/>
  <c r="AL16" i="6"/>
  <c r="AM16" i="6"/>
  <c r="AO16" i="6"/>
  <c r="AP16" i="6"/>
  <c r="AQ16" i="6"/>
  <c r="AR16" i="6"/>
  <c r="AS16" i="6"/>
  <c r="C17" i="6"/>
  <c r="D17" i="6"/>
  <c r="E17" i="6"/>
  <c r="F17" i="6"/>
  <c r="G17" i="6"/>
  <c r="H17" i="6"/>
  <c r="I17" i="6"/>
  <c r="J17" i="6"/>
  <c r="K17" i="6"/>
  <c r="L17" i="6"/>
  <c r="M17" i="6"/>
  <c r="O17" i="6"/>
  <c r="Q17" i="6"/>
  <c r="S17" i="6"/>
  <c r="T17" i="6"/>
  <c r="W17" i="6"/>
  <c r="X17" i="6"/>
  <c r="Z17" i="6"/>
  <c r="AB17" i="6"/>
  <c r="AD17" i="6"/>
  <c r="AF17" i="6"/>
  <c r="AG17" i="6"/>
  <c r="AH17" i="6"/>
  <c r="AI17" i="6"/>
  <c r="AJ17" i="6"/>
  <c r="AL17" i="6"/>
  <c r="AM17" i="6"/>
  <c r="AO17" i="6"/>
  <c r="AP17" i="6"/>
  <c r="AQ17" i="6"/>
  <c r="AR17" i="6"/>
  <c r="AS17" i="6"/>
  <c r="C18" i="6"/>
  <c r="D18" i="6"/>
  <c r="E18" i="6"/>
  <c r="F18" i="6"/>
  <c r="G18" i="6"/>
  <c r="H18" i="6"/>
  <c r="I18" i="6"/>
  <c r="J18" i="6"/>
  <c r="K18" i="6"/>
  <c r="L18" i="6"/>
  <c r="M18" i="6"/>
  <c r="O18" i="6"/>
  <c r="Q18" i="6"/>
  <c r="S18" i="6"/>
  <c r="T18" i="6"/>
  <c r="W18" i="6"/>
  <c r="X18" i="6"/>
  <c r="Z18" i="6"/>
  <c r="AB18" i="6"/>
  <c r="AD18" i="6"/>
  <c r="AF18" i="6"/>
  <c r="AG18" i="6"/>
  <c r="AH18" i="6"/>
  <c r="AI18" i="6"/>
  <c r="AJ18" i="6"/>
  <c r="AL18" i="6"/>
  <c r="AM18" i="6"/>
  <c r="AO18" i="6"/>
  <c r="AP18" i="6"/>
  <c r="AQ18" i="6"/>
  <c r="AR18" i="6"/>
  <c r="AS18" i="6"/>
  <c r="C19" i="6"/>
  <c r="D19" i="6"/>
  <c r="E19" i="6"/>
  <c r="G19" i="6"/>
  <c r="H19" i="6"/>
  <c r="I19" i="6"/>
  <c r="J19" i="6"/>
  <c r="K19" i="6"/>
  <c r="L19" i="6"/>
  <c r="M19" i="6"/>
  <c r="O19" i="6"/>
  <c r="Q19" i="6"/>
  <c r="S19" i="6"/>
  <c r="T19" i="6"/>
  <c r="W19" i="6"/>
  <c r="Y19" i="6"/>
  <c r="Z19" i="6"/>
  <c r="AB19" i="6"/>
  <c r="AD19" i="6"/>
  <c r="AF19" i="6"/>
  <c r="AG19" i="6"/>
  <c r="AH19" i="6"/>
  <c r="AI19" i="6"/>
  <c r="AJ19" i="6"/>
  <c r="AL19" i="6"/>
  <c r="AM19" i="6"/>
  <c r="AO19" i="6"/>
  <c r="AP19" i="6"/>
  <c r="AQ19" i="6"/>
  <c r="AR19" i="6"/>
  <c r="AS19" i="6"/>
  <c r="C20" i="6"/>
  <c r="D20" i="6"/>
  <c r="E20" i="6"/>
  <c r="F20" i="6"/>
  <c r="G20" i="6"/>
  <c r="H20" i="6"/>
  <c r="I20" i="6"/>
  <c r="J20" i="6"/>
  <c r="K20" i="6"/>
  <c r="L20" i="6"/>
  <c r="M20" i="6"/>
  <c r="O20" i="6"/>
  <c r="Q20" i="6"/>
  <c r="S20" i="6"/>
  <c r="T20" i="6"/>
  <c r="W20" i="6"/>
  <c r="X20" i="6"/>
  <c r="Z20" i="6"/>
  <c r="AB20" i="6"/>
  <c r="AD20" i="6"/>
  <c r="AF20" i="6"/>
  <c r="AG20" i="6"/>
  <c r="AH20" i="6"/>
  <c r="AI20" i="6"/>
  <c r="AJ20" i="6"/>
  <c r="AL20" i="6"/>
  <c r="AM20" i="6"/>
  <c r="AO20" i="6"/>
  <c r="AP20" i="6"/>
  <c r="AQ20" i="6"/>
  <c r="AR20" i="6"/>
  <c r="AS20" i="6"/>
  <c r="C21" i="6"/>
  <c r="D21" i="6"/>
  <c r="E21" i="6"/>
  <c r="F21" i="6"/>
  <c r="G21" i="6"/>
  <c r="H21" i="6"/>
  <c r="I21" i="6"/>
  <c r="J21" i="6"/>
  <c r="K21" i="6"/>
  <c r="L21" i="6"/>
  <c r="M21" i="6"/>
  <c r="O21" i="6"/>
  <c r="Q21" i="6"/>
  <c r="S21" i="6"/>
  <c r="T21" i="6"/>
  <c r="W21" i="6"/>
  <c r="Y21" i="6"/>
  <c r="Z21" i="6"/>
  <c r="AB21" i="6"/>
  <c r="AD21" i="6"/>
  <c r="AF21" i="6"/>
  <c r="AG21" i="6"/>
  <c r="AH21" i="6"/>
  <c r="AI21" i="6"/>
  <c r="AJ21" i="6"/>
  <c r="AL21" i="6"/>
  <c r="AM21" i="6"/>
  <c r="AO21" i="6"/>
  <c r="AP21" i="6"/>
  <c r="AQ21" i="6"/>
  <c r="AR21" i="6"/>
  <c r="AS21" i="6"/>
  <c r="C22" i="6"/>
  <c r="D22" i="6"/>
  <c r="E22" i="6"/>
  <c r="F22" i="6"/>
  <c r="G22" i="6"/>
  <c r="H22" i="6"/>
  <c r="I22" i="6"/>
  <c r="J22" i="6"/>
  <c r="K22" i="6"/>
  <c r="L22" i="6"/>
  <c r="M22" i="6"/>
  <c r="O22" i="6"/>
  <c r="Q22" i="6"/>
  <c r="S22" i="6"/>
  <c r="T22" i="6"/>
  <c r="W22" i="6"/>
  <c r="Y22" i="6"/>
  <c r="Z22" i="6"/>
  <c r="AB22" i="6"/>
  <c r="AD22" i="6"/>
  <c r="AF22" i="6"/>
  <c r="AG22" i="6"/>
  <c r="AH22" i="6"/>
  <c r="AI22" i="6"/>
  <c r="AJ22" i="6"/>
  <c r="AL22" i="6"/>
  <c r="AM22" i="6"/>
  <c r="AO22" i="6"/>
  <c r="AP22" i="6"/>
  <c r="AQ22" i="6"/>
  <c r="AR22" i="6"/>
  <c r="AS22" i="6"/>
  <c r="C23" i="6"/>
  <c r="D23" i="6"/>
  <c r="E23" i="6"/>
  <c r="F23" i="6"/>
  <c r="G23" i="6"/>
  <c r="H23" i="6"/>
  <c r="I23" i="6"/>
  <c r="J23" i="6"/>
  <c r="K23" i="6"/>
  <c r="L23" i="6"/>
  <c r="M23" i="6"/>
  <c r="O23" i="6"/>
  <c r="Q23" i="6"/>
  <c r="S23" i="6"/>
  <c r="T23" i="6"/>
  <c r="W23" i="6"/>
  <c r="X23" i="6"/>
  <c r="Z23" i="6"/>
  <c r="AB23" i="6"/>
  <c r="AD23" i="6"/>
  <c r="AF23" i="6"/>
  <c r="AG23" i="6"/>
  <c r="AH23" i="6"/>
  <c r="AI23" i="6"/>
  <c r="AJ23" i="6"/>
  <c r="AL23" i="6"/>
  <c r="AM23" i="6"/>
  <c r="AO23" i="6"/>
  <c r="AP23" i="6"/>
  <c r="AQ23" i="6"/>
  <c r="AR23" i="6"/>
  <c r="AS23" i="6"/>
  <c r="C24" i="6"/>
  <c r="D24" i="6"/>
  <c r="E24" i="6"/>
  <c r="F24" i="6"/>
  <c r="G24" i="6"/>
  <c r="H24" i="6"/>
  <c r="I24" i="6"/>
  <c r="J24" i="6"/>
  <c r="K24" i="6"/>
  <c r="L24" i="6"/>
  <c r="M24" i="6"/>
  <c r="O24" i="6"/>
  <c r="Q24" i="6"/>
  <c r="S24" i="6"/>
  <c r="T24" i="6"/>
  <c r="W24" i="6"/>
  <c r="Y24" i="6"/>
  <c r="Z24" i="6"/>
  <c r="AB24" i="6"/>
  <c r="AD24" i="6"/>
  <c r="AF24" i="6"/>
  <c r="AG24" i="6"/>
  <c r="AH24" i="6"/>
  <c r="AI24" i="6"/>
  <c r="AJ24" i="6"/>
  <c r="AL24" i="6"/>
  <c r="AM24" i="6"/>
  <c r="AO24" i="6"/>
  <c r="AP24" i="6"/>
  <c r="AQ24" i="6"/>
  <c r="AR24" i="6"/>
  <c r="AS24" i="6"/>
  <c r="C25" i="6"/>
  <c r="D25" i="6"/>
  <c r="E25" i="6"/>
  <c r="F25" i="6"/>
  <c r="G25" i="6"/>
  <c r="H25" i="6"/>
  <c r="I25" i="6"/>
  <c r="J25" i="6"/>
  <c r="K25" i="6"/>
  <c r="L25" i="6"/>
  <c r="M25" i="6"/>
  <c r="O25" i="6"/>
  <c r="Q25" i="6"/>
  <c r="S25" i="6"/>
  <c r="T25" i="6"/>
  <c r="W25" i="6"/>
  <c r="X25" i="6"/>
  <c r="Z25" i="6"/>
  <c r="AB25" i="6"/>
  <c r="AD25" i="6"/>
  <c r="AF25" i="6"/>
  <c r="AG25" i="6"/>
  <c r="AH25" i="6"/>
  <c r="AI25" i="6"/>
  <c r="AJ25" i="6"/>
  <c r="AL25" i="6"/>
  <c r="AM25" i="6"/>
  <c r="AO25" i="6"/>
  <c r="AP25" i="6"/>
  <c r="AQ25" i="6"/>
  <c r="AR25" i="6"/>
  <c r="AS25" i="6"/>
  <c r="C26" i="6"/>
  <c r="D26" i="6"/>
  <c r="E26" i="6"/>
  <c r="F26" i="6"/>
  <c r="G26" i="6"/>
  <c r="H26" i="6"/>
  <c r="I26" i="6"/>
  <c r="J26" i="6"/>
  <c r="K26" i="6"/>
  <c r="L26" i="6"/>
  <c r="M26" i="6"/>
  <c r="O26" i="6"/>
  <c r="Q26" i="6"/>
  <c r="S26" i="6"/>
  <c r="T26" i="6"/>
  <c r="W26" i="6"/>
  <c r="X26" i="6"/>
  <c r="Z26" i="6"/>
  <c r="AB26" i="6"/>
  <c r="AD26" i="6"/>
  <c r="AF26" i="6"/>
  <c r="AG26" i="6"/>
  <c r="AH26" i="6"/>
  <c r="AI26" i="6"/>
  <c r="AJ26" i="6"/>
  <c r="AL26" i="6"/>
  <c r="AM26" i="6"/>
  <c r="AO26" i="6"/>
  <c r="AP26" i="6"/>
  <c r="AQ26" i="6"/>
  <c r="AR26" i="6"/>
  <c r="AS26" i="6"/>
  <c r="C27" i="6"/>
  <c r="D27" i="6"/>
  <c r="E27" i="6"/>
  <c r="G27" i="6"/>
  <c r="H27" i="6"/>
  <c r="I27" i="6"/>
  <c r="J27" i="6"/>
  <c r="K27" i="6"/>
  <c r="L27" i="6"/>
  <c r="M27" i="6"/>
  <c r="O27" i="6"/>
  <c r="Q27" i="6"/>
  <c r="S27" i="6"/>
  <c r="T27" i="6"/>
  <c r="W27" i="6"/>
  <c r="X27" i="6"/>
  <c r="Z27" i="6"/>
  <c r="AB27" i="6"/>
  <c r="AD27" i="6"/>
  <c r="AF27" i="6"/>
  <c r="AG27" i="6"/>
  <c r="AH27" i="6"/>
  <c r="AI27" i="6"/>
  <c r="AJ27" i="6"/>
  <c r="AL27" i="6"/>
  <c r="AM27" i="6"/>
  <c r="AO27" i="6"/>
  <c r="AP27" i="6"/>
  <c r="AQ27" i="6"/>
  <c r="AR27" i="6"/>
  <c r="N27" i="7" s="1"/>
  <c r="AS27" i="6"/>
  <c r="O27" i="7" s="1"/>
  <c r="C28" i="6"/>
  <c r="D28" i="6"/>
  <c r="E28" i="6"/>
  <c r="F28" i="6"/>
  <c r="G28" i="6"/>
  <c r="H28" i="6"/>
  <c r="I28" i="6"/>
  <c r="J28" i="6"/>
  <c r="K28" i="6"/>
  <c r="L28" i="6"/>
  <c r="M28" i="6"/>
  <c r="O28" i="6"/>
  <c r="Q28" i="6"/>
  <c r="S28" i="6"/>
  <c r="T28" i="6"/>
  <c r="W28" i="6"/>
  <c r="X28" i="6"/>
  <c r="Z28" i="6"/>
  <c r="AB28" i="6"/>
  <c r="AD28" i="6"/>
  <c r="AF28" i="6"/>
  <c r="AG28" i="6"/>
  <c r="AH28" i="6"/>
  <c r="AI28" i="6"/>
  <c r="AJ28" i="6"/>
  <c r="AL28" i="6"/>
  <c r="AM28" i="6"/>
  <c r="AO28" i="6"/>
  <c r="AP28" i="6"/>
  <c r="AQ28" i="6"/>
  <c r="AR28" i="6"/>
  <c r="AS28" i="6"/>
  <c r="C29" i="6"/>
  <c r="D29" i="6"/>
  <c r="E29" i="6"/>
  <c r="F29" i="6"/>
  <c r="G29" i="6"/>
  <c r="H29" i="6"/>
  <c r="I29" i="6"/>
  <c r="J29" i="6"/>
  <c r="K29" i="6"/>
  <c r="L29" i="6"/>
  <c r="M29" i="6"/>
  <c r="O29" i="6"/>
  <c r="Q29" i="6"/>
  <c r="S29" i="6"/>
  <c r="T29" i="6"/>
  <c r="W29" i="6"/>
  <c r="X29" i="6"/>
  <c r="Z29" i="6"/>
  <c r="AB29" i="6"/>
  <c r="AD29" i="6"/>
  <c r="AF29" i="6"/>
  <c r="AG29" i="6"/>
  <c r="AH29" i="6"/>
  <c r="AI29" i="6"/>
  <c r="AJ29" i="6"/>
  <c r="AL29" i="6"/>
  <c r="AM29" i="6"/>
  <c r="AO29" i="6"/>
  <c r="AP29" i="6"/>
  <c r="AQ29" i="6"/>
  <c r="AR29" i="6"/>
  <c r="AS29" i="6"/>
  <c r="C30" i="6"/>
  <c r="D30" i="6"/>
  <c r="E30" i="6"/>
  <c r="F30" i="6"/>
  <c r="G30" i="6"/>
  <c r="H30" i="6"/>
  <c r="I30" i="6"/>
  <c r="J30" i="6"/>
  <c r="K30" i="6"/>
  <c r="L30" i="6"/>
  <c r="M30" i="6"/>
  <c r="O30" i="6"/>
  <c r="Q30" i="6"/>
  <c r="S30" i="6"/>
  <c r="T30" i="6"/>
  <c r="W30" i="6"/>
  <c r="X30" i="6"/>
  <c r="Z30" i="6"/>
  <c r="AB30" i="6"/>
  <c r="AD30" i="6"/>
  <c r="AF30" i="6"/>
  <c r="AG30" i="6"/>
  <c r="AH30" i="6"/>
  <c r="AI30" i="6"/>
  <c r="AJ30" i="6"/>
  <c r="AL30" i="6"/>
  <c r="AM30" i="6"/>
  <c r="AO30" i="6"/>
  <c r="AP30" i="6"/>
  <c r="AQ30" i="6"/>
  <c r="AR30" i="6"/>
  <c r="AS30" i="6"/>
  <c r="C31" i="6"/>
  <c r="D31" i="6"/>
  <c r="E31" i="6"/>
  <c r="F31" i="6"/>
  <c r="G31" i="6"/>
  <c r="H31" i="6"/>
  <c r="I31" i="6"/>
  <c r="J31" i="6"/>
  <c r="K31" i="6"/>
  <c r="L31" i="6"/>
  <c r="M31" i="6"/>
  <c r="O31" i="6"/>
  <c r="Q31" i="6"/>
  <c r="S31" i="6"/>
  <c r="T31" i="6"/>
  <c r="W31" i="6"/>
  <c r="X31" i="6"/>
  <c r="Z31" i="6"/>
  <c r="AB31" i="6"/>
  <c r="AD31" i="6"/>
  <c r="AF31" i="6"/>
  <c r="AG31" i="6"/>
  <c r="AH31" i="6"/>
  <c r="AI31" i="6"/>
  <c r="AJ31" i="6"/>
  <c r="AL31" i="6"/>
  <c r="AM31" i="6"/>
  <c r="AO31" i="6"/>
  <c r="AP31" i="6"/>
  <c r="AQ31" i="6"/>
  <c r="AR31" i="6"/>
  <c r="AS31" i="6"/>
  <c r="C32" i="6"/>
  <c r="D32" i="6"/>
  <c r="E32" i="6"/>
  <c r="F32" i="6"/>
  <c r="G32" i="6"/>
  <c r="H32" i="6"/>
  <c r="I32" i="6"/>
  <c r="J32" i="6"/>
  <c r="K32" i="6"/>
  <c r="L32" i="6"/>
  <c r="M32" i="6"/>
  <c r="O32" i="6"/>
  <c r="Q32" i="6"/>
  <c r="S32" i="6"/>
  <c r="T32" i="6"/>
  <c r="W32" i="6"/>
  <c r="X32" i="6"/>
  <c r="Z32" i="6"/>
  <c r="AB32" i="6"/>
  <c r="AD32" i="6"/>
  <c r="AF32" i="6"/>
  <c r="AG32" i="6"/>
  <c r="AH32" i="6"/>
  <c r="AI32" i="6"/>
  <c r="AJ32" i="6"/>
  <c r="AL32" i="6"/>
  <c r="AM32" i="6"/>
  <c r="AO32" i="6"/>
  <c r="AP32" i="6"/>
  <c r="AQ32" i="6"/>
  <c r="AR32" i="6"/>
  <c r="AS32" i="6"/>
  <c r="C33" i="6"/>
  <c r="D33" i="6"/>
  <c r="E33" i="6"/>
  <c r="F33" i="6"/>
  <c r="G33" i="6"/>
  <c r="H33" i="6"/>
  <c r="I33" i="6"/>
  <c r="J33" i="6"/>
  <c r="K33" i="6"/>
  <c r="L33" i="6"/>
  <c r="M33" i="6"/>
  <c r="O33" i="6"/>
  <c r="Q33" i="6"/>
  <c r="S33" i="6"/>
  <c r="T33" i="6"/>
  <c r="W33" i="6"/>
  <c r="X33" i="6"/>
  <c r="Z33" i="6"/>
  <c r="AB33" i="6"/>
  <c r="AD33" i="6"/>
  <c r="AF33" i="6"/>
  <c r="AG33" i="6"/>
  <c r="AH33" i="6"/>
  <c r="AI33" i="6"/>
  <c r="AJ33" i="6"/>
  <c r="AL33" i="6"/>
  <c r="AM33" i="6"/>
  <c r="AO33" i="6"/>
  <c r="AP33" i="6"/>
  <c r="AQ33" i="6"/>
  <c r="AR33" i="6"/>
  <c r="AS33" i="6"/>
  <c r="C34" i="6"/>
  <c r="D34" i="6"/>
  <c r="E34" i="6"/>
  <c r="F34" i="6"/>
  <c r="G34" i="6"/>
  <c r="H34" i="6"/>
  <c r="I34" i="6"/>
  <c r="J34" i="6"/>
  <c r="K34" i="6"/>
  <c r="L34" i="6"/>
  <c r="M34" i="6"/>
  <c r="O34" i="6"/>
  <c r="Q34" i="6"/>
  <c r="S34" i="6"/>
  <c r="T34" i="6"/>
  <c r="W34" i="6"/>
  <c r="X34" i="6"/>
  <c r="Z34" i="6"/>
  <c r="AB34" i="6"/>
  <c r="AD34" i="6"/>
  <c r="AF34" i="6"/>
  <c r="AG34" i="6"/>
  <c r="AH34" i="6"/>
  <c r="AI34" i="6"/>
  <c r="AJ34" i="6"/>
  <c r="AL34" i="6"/>
  <c r="AM34" i="6"/>
  <c r="AO34" i="6"/>
  <c r="AP34" i="6"/>
  <c r="AQ34" i="6"/>
  <c r="AR34" i="6"/>
  <c r="AS34" i="6"/>
  <c r="C35" i="6"/>
  <c r="D35" i="6"/>
  <c r="E35" i="6"/>
  <c r="F35" i="6"/>
  <c r="G35" i="6"/>
  <c r="H35" i="6"/>
  <c r="I35" i="6"/>
  <c r="J35" i="6"/>
  <c r="K35" i="6"/>
  <c r="L35" i="6"/>
  <c r="M35" i="6"/>
  <c r="O35" i="6"/>
  <c r="Q35" i="6"/>
  <c r="S35" i="6"/>
  <c r="T35" i="6"/>
  <c r="W35" i="6"/>
  <c r="X35" i="6"/>
  <c r="Z35" i="6"/>
  <c r="AB35" i="6"/>
  <c r="AD35" i="6"/>
  <c r="AF35" i="6"/>
  <c r="AG35" i="6"/>
  <c r="AH35" i="6"/>
  <c r="AI35" i="6"/>
  <c r="AJ35" i="6"/>
  <c r="AL35" i="6"/>
  <c r="AM35" i="6"/>
  <c r="AO35" i="6"/>
  <c r="AP35" i="6"/>
  <c r="AQ35" i="6"/>
  <c r="AR35" i="6"/>
  <c r="AS35" i="6"/>
  <c r="B36" i="6"/>
  <c r="D36" i="6"/>
  <c r="F36" i="6"/>
  <c r="H36" i="6"/>
  <c r="J36" i="6"/>
  <c r="L36" i="6"/>
  <c r="N36" i="6"/>
  <c r="P36" i="6"/>
  <c r="R36" i="6"/>
  <c r="S36" i="6"/>
  <c r="U36" i="6"/>
  <c r="V36" i="6"/>
  <c r="X36" i="6"/>
  <c r="Y36" i="6"/>
  <c r="AA36" i="6"/>
  <c r="AC36" i="6"/>
  <c r="AE36" i="6"/>
  <c r="AG36" i="6"/>
  <c r="AI36" i="6"/>
  <c r="AK36" i="6"/>
  <c r="AL36" i="6"/>
  <c r="AN36" i="6"/>
  <c r="AP36" i="6"/>
  <c r="B37" i="6"/>
  <c r="D37" i="6"/>
  <c r="F37" i="6"/>
  <c r="H37" i="6"/>
  <c r="J37" i="6"/>
  <c r="L37" i="6"/>
  <c r="N37" i="6"/>
  <c r="P37" i="6"/>
  <c r="R37" i="6"/>
  <c r="S37" i="6"/>
  <c r="U37" i="6"/>
  <c r="V37" i="6"/>
  <c r="X37" i="6"/>
  <c r="Y37" i="6"/>
  <c r="AA37" i="6"/>
  <c r="AC37" i="6"/>
  <c r="AE37" i="6"/>
  <c r="AG37" i="6"/>
  <c r="AI37" i="6"/>
  <c r="AK37" i="6"/>
  <c r="AL37" i="6"/>
  <c r="AN37" i="6"/>
  <c r="AP37" i="6"/>
  <c r="B38" i="6"/>
  <c r="D38" i="6"/>
  <c r="F38" i="6"/>
  <c r="H38" i="6"/>
  <c r="J38" i="6"/>
  <c r="L38" i="6"/>
  <c r="N38" i="6"/>
  <c r="P38" i="6"/>
  <c r="R38" i="6"/>
  <c r="S38" i="6"/>
  <c r="U38" i="6"/>
  <c r="V38" i="6"/>
  <c r="X38" i="6"/>
  <c r="Y38" i="6"/>
  <c r="AA38" i="6"/>
  <c r="AC38" i="6"/>
  <c r="AE38" i="6"/>
  <c r="AG38" i="6"/>
  <c r="AI38" i="6"/>
  <c r="AK38" i="6"/>
  <c r="AL38" i="6"/>
  <c r="AN38" i="6"/>
  <c r="AP38" i="6"/>
  <c r="AP38" i="5"/>
  <c r="AN38" i="5"/>
  <c r="AL38" i="5"/>
  <c r="AK38" i="5"/>
  <c r="AI38" i="5"/>
  <c r="AG38" i="5"/>
  <c r="AE38" i="5"/>
  <c r="AC38" i="5"/>
  <c r="AA38" i="5"/>
  <c r="Y38" i="5"/>
  <c r="X38" i="5"/>
  <c r="V38" i="5"/>
  <c r="U38" i="5"/>
  <c r="P38" i="5"/>
  <c r="N38" i="5"/>
  <c r="L38" i="5"/>
  <c r="J38" i="5"/>
  <c r="H38" i="5"/>
  <c r="F38" i="5"/>
  <c r="D38" i="5"/>
  <c r="B38" i="5"/>
  <c r="C74" i="5"/>
  <c r="E74" i="5"/>
  <c r="G74" i="5"/>
  <c r="I74" i="5"/>
  <c r="K74" i="5"/>
  <c r="M74" i="5"/>
  <c r="O74" i="5"/>
  <c r="Q74" i="5"/>
  <c r="T74" i="5"/>
  <c r="W74" i="5"/>
  <c r="Z74" i="5"/>
  <c r="AB74" i="5"/>
  <c r="AD74" i="5"/>
  <c r="AF74" i="5"/>
  <c r="AH74" i="5"/>
  <c r="AJ74" i="5"/>
  <c r="AM74" i="5"/>
  <c r="AO74" i="5"/>
  <c r="AQ74" i="5"/>
  <c r="AR71" i="5" l="1"/>
  <c r="AR70" i="5"/>
  <c r="AR69" i="5"/>
  <c r="AR68" i="5"/>
  <c r="AR67" i="5"/>
  <c r="AR66" i="5"/>
  <c r="AR65" i="5"/>
  <c r="AR64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P71" i="5"/>
  <c r="AP70" i="5"/>
  <c r="AP69" i="5"/>
  <c r="AP68" i="5"/>
  <c r="AP67" i="5"/>
  <c r="AP66" i="5"/>
  <c r="AP65" i="5"/>
  <c r="AP64" i="5"/>
  <c r="AP63" i="5"/>
  <c r="AP62" i="5"/>
  <c r="AP61" i="5"/>
  <c r="AP60" i="5"/>
  <c r="AP59" i="5"/>
  <c r="AP58" i="5"/>
  <c r="AP57" i="5"/>
  <c r="AP56" i="5"/>
  <c r="AP55" i="5"/>
  <c r="AP54" i="5"/>
  <c r="AP53" i="5"/>
  <c r="AP52" i="5"/>
  <c r="AP51" i="5"/>
  <c r="AP50" i="5"/>
  <c r="AP49" i="5"/>
  <c r="AP48" i="5"/>
  <c r="AP47" i="5"/>
  <c r="AP46" i="5"/>
  <c r="AP45" i="5"/>
  <c r="AP44" i="5"/>
  <c r="AP43" i="5"/>
  <c r="AP42" i="5"/>
  <c r="AP41" i="5"/>
  <c r="AN51" i="5"/>
  <c r="AN50" i="5"/>
  <c r="AN49" i="5"/>
  <c r="AN48" i="5"/>
  <c r="AN47" i="5"/>
  <c r="AN46" i="5"/>
  <c r="AN45" i="5"/>
  <c r="AN44" i="5"/>
  <c r="AN43" i="5"/>
  <c r="AN42" i="5"/>
  <c r="AN41" i="5"/>
  <c r="AL71" i="5"/>
  <c r="AL70" i="5"/>
  <c r="AL69" i="5"/>
  <c r="AL68" i="5"/>
  <c r="AL67" i="5"/>
  <c r="AL66" i="5"/>
  <c r="AL65" i="5"/>
  <c r="AL64" i="5"/>
  <c r="AL63" i="5"/>
  <c r="AL62" i="5"/>
  <c r="AL61" i="5"/>
  <c r="AL60" i="5"/>
  <c r="AL59" i="5"/>
  <c r="AL58" i="5"/>
  <c r="AL57" i="5"/>
  <c r="AL56" i="5"/>
  <c r="AL55" i="5"/>
  <c r="AL54" i="5"/>
  <c r="AL53" i="5"/>
  <c r="AL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A51" i="5"/>
  <c r="AA50" i="5"/>
  <c r="AA49" i="5"/>
  <c r="AA48" i="5"/>
  <c r="AA47" i="5"/>
  <c r="AA46" i="5"/>
  <c r="AA45" i="5"/>
  <c r="AA44" i="5"/>
  <c r="AA43" i="5"/>
  <c r="AA42" i="5"/>
  <c r="AA41" i="5"/>
  <c r="X43" i="5"/>
  <c r="X44" i="5"/>
  <c r="X45" i="5"/>
  <c r="X46" i="5"/>
  <c r="X47" i="5"/>
  <c r="X48" i="5"/>
  <c r="X49" i="5"/>
  <c r="X50" i="5"/>
  <c r="X51" i="5"/>
  <c r="X52" i="5"/>
  <c r="X53" i="5"/>
  <c r="X54" i="5"/>
  <c r="X56" i="5"/>
  <c r="X59" i="5"/>
  <c r="X61" i="5"/>
  <c r="X62" i="5"/>
  <c r="X63" i="5"/>
  <c r="X64" i="5"/>
  <c r="X65" i="5"/>
  <c r="X66" i="5"/>
  <c r="X67" i="5"/>
  <c r="X68" i="5"/>
  <c r="X69" i="5"/>
  <c r="X70" i="5"/>
  <c r="X71" i="5"/>
  <c r="X42" i="5"/>
  <c r="Y60" i="5"/>
  <c r="Y58" i="5"/>
  <c r="Y57" i="5"/>
  <c r="Y55" i="5"/>
  <c r="Y41" i="5"/>
  <c r="X41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R43" i="5"/>
  <c r="R44" i="5"/>
  <c r="R45" i="5"/>
  <c r="R46" i="5"/>
  <c r="R47" i="5"/>
  <c r="R48" i="5"/>
  <c r="R49" i="5"/>
  <c r="R50" i="5"/>
  <c r="R51" i="5"/>
  <c r="R4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R41" i="5"/>
  <c r="B51" i="5"/>
  <c r="B50" i="5"/>
  <c r="B49" i="5"/>
  <c r="B48" i="5"/>
  <c r="B47" i="5"/>
  <c r="B46" i="5"/>
  <c r="B45" i="5"/>
  <c r="B44" i="5"/>
  <c r="B43" i="5"/>
  <c r="B42" i="5"/>
  <c r="B41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F71" i="5"/>
  <c r="F70" i="5"/>
  <c r="F69" i="5"/>
  <c r="F68" i="5"/>
  <c r="F67" i="5"/>
  <c r="F66" i="5"/>
  <c r="F65" i="5"/>
  <c r="F64" i="5"/>
  <c r="F62" i="5"/>
  <c r="F61" i="5"/>
  <c r="F60" i="5"/>
  <c r="F59" i="5"/>
  <c r="F58" i="5"/>
  <c r="F57" i="5"/>
  <c r="F56" i="5"/>
  <c r="F54" i="5"/>
  <c r="F53" i="5"/>
  <c r="F52" i="5"/>
  <c r="F51" i="5"/>
  <c r="F49" i="5"/>
  <c r="F48" i="5"/>
  <c r="F47" i="5"/>
  <c r="F45" i="5"/>
  <c r="F44" i="5"/>
  <c r="F43" i="5"/>
  <c r="F42" i="5"/>
  <c r="F41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E51" i="5"/>
  <c r="AE50" i="5"/>
  <c r="AE49" i="5"/>
  <c r="AE48" i="5"/>
  <c r="AE47" i="5"/>
  <c r="AE46" i="5"/>
  <c r="AE45" i="5"/>
  <c r="AE44" i="5"/>
  <c r="AE43" i="5"/>
  <c r="AE42" i="5"/>
  <c r="AE41" i="5"/>
  <c r="AC51" i="5"/>
  <c r="AC50" i="5"/>
  <c r="AC49" i="5"/>
  <c r="AC48" i="5"/>
  <c r="AC47" i="5"/>
  <c r="AC46" i="5"/>
  <c r="AC45" i="5"/>
  <c r="AC44" i="5"/>
  <c r="AC43" i="5"/>
  <c r="AC42" i="5"/>
  <c r="AC41" i="5"/>
  <c r="P51" i="5"/>
  <c r="P50" i="5"/>
  <c r="P49" i="5"/>
  <c r="P48" i="5"/>
  <c r="P47" i="5"/>
  <c r="P46" i="5"/>
  <c r="P45" i="5"/>
  <c r="P44" i="5"/>
  <c r="P43" i="5"/>
  <c r="P42" i="5"/>
  <c r="P41" i="5"/>
  <c r="N51" i="5"/>
  <c r="N50" i="5"/>
  <c r="N49" i="5"/>
  <c r="N48" i="5"/>
  <c r="N47" i="5"/>
  <c r="N46" i="5"/>
  <c r="N45" i="5"/>
  <c r="N44" i="5"/>
  <c r="N43" i="5"/>
  <c r="N42" i="5"/>
  <c r="N41" i="5"/>
  <c r="L41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42" i="5"/>
  <c r="AL37" i="5" a="1"/>
  <c r="AL37" i="5" s="1"/>
  <c r="AL36" i="5" a="1"/>
  <c r="AL36" i="5" s="1"/>
  <c r="Y37" i="5" a="1"/>
  <c r="Y37" i="5" s="1"/>
  <c r="Y36" i="5" a="1"/>
  <c r="Y36" i="5" s="1"/>
  <c r="U37" i="5" a="1"/>
  <c r="U37" i="5" s="1"/>
  <c r="U36" i="5" a="1"/>
  <c r="U36" i="5" s="1"/>
  <c r="S37" i="5" a="1"/>
  <c r="S37" i="5" s="1"/>
  <c r="S36" i="5" a="1"/>
  <c r="S36" i="5" s="1"/>
  <c r="AR37" i="6"/>
  <c r="N37" i="7" s="1"/>
  <c r="AR36" i="6"/>
  <c r="N36" i="7" s="1"/>
  <c r="AP37" i="5" a="1"/>
  <c r="AP37" i="5" s="1"/>
  <c r="AP36" i="5" a="1"/>
  <c r="AP36" i="5" s="1"/>
  <c r="AN37" i="5" a="1"/>
  <c r="AN37" i="5" s="1"/>
  <c r="AN36" i="5" a="1"/>
  <c r="AN36" i="5" s="1"/>
  <c r="AK37" i="5" a="1"/>
  <c r="AK37" i="5" s="1"/>
  <c r="AK36" i="5" a="1"/>
  <c r="AK36" i="5" s="1"/>
  <c r="AI37" i="5" a="1"/>
  <c r="AI37" i="5" s="1"/>
  <c r="AI36" i="5" a="1"/>
  <c r="AI36" i="5" s="1"/>
  <c r="AG37" i="5" a="1"/>
  <c r="AG37" i="5" s="1"/>
  <c r="AG36" i="5" a="1"/>
  <c r="AG36" i="5" s="1"/>
  <c r="AE37" i="5" a="1"/>
  <c r="AE37" i="5" s="1"/>
  <c r="AE36" i="5" a="1"/>
  <c r="AE36" i="5" s="1"/>
  <c r="AC37" i="5" a="1"/>
  <c r="AC37" i="5" s="1"/>
  <c r="AC36" i="5" a="1"/>
  <c r="AC36" i="5" s="1"/>
  <c r="AA37" i="5" a="1"/>
  <c r="AA37" i="5" s="1"/>
  <c r="AA36" i="5" a="1"/>
  <c r="AA36" i="5" s="1"/>
  <c r="X37" i="5" a="1"/>
  <c r="X37" i="5" s="1"/>
  <c r="X36" i="5" a="1"/>
  <c r="X36" i="5" s="1"/>
  <c r="V37" i="5" a="1"/>
  <c r="V37" i="5" s="1"/>
  <c r="V36" i="5" a="1"/>
  <c r="V36" i="5" s="1"/>
  <c r="R37" i="5" a="1"/>
  <c r="R37" i="5" s="1"/>
  <c r="R36" i="5" a="1"/>
  <c r="R36" i="5" s="1"/>
  <c r="P37" i="5" a="1"/>
  <c r="P37" i="5" s="1"/>
  <c r="P36" i="5" a="1"/>
  <c r="P36" i="5" s="1"/>
  <c r="N37" i="5" a="1"/>
  <c r="N37" i="5" s="1"/>
  <c r="N36" i="5" a="1"/>
  <c r="N36" i="5" s="1"/>
  <c r="L37" i="5" a="1"/>
  <c r="L37" i="5" s="1"/>
  <c r="L36" i="5" a="1"/>
  <c r="L36" i="5" s="1"/>
  <c r="J37" i="5" a="1"/>
  <c r="J37" i="5" s="1"/>
  <c r="J36" i="5" a="1"/>
  <c r="J36" i="5" s="1"/>
  <c r="H37" i="5" a="1"/>
  <c r="H37" i="5" s="1"/>
  <c r="H36" i="5" a="1"/>
  <c r="H36" i="5" s="1"/>
  <c r="F37" i="5" a="1"/>
  <c r="F37" i="5" s="1"/>
  <c r="F36" i="5" a="1"/>
  <c r="F36" i="5" s="1"/>
  <c r="D37" i="5" a="1"/>
  <c r="D37" i="5" s="1"/>
  <c r="D36" i="5" a="1"/>
  <c r="D36" i="5" s="1"/>
  <c r="B37" i="5" a="1"/>
  <c r="B37" i="5" s="1"/>
  <c r="B36" i="5" a="1"/>
  <c r="B36" i="5" s="1"/>
  <c r="Y73" i="5" l="1"/>
  <c r="S73" i="5"/>
  <c r="AR73" i="5"/>
  <c r="U73" i="5"/>
  <c r="X73" i="5"/>
  <c r="AA73" i="5"/>
  <c r="V73" i="5"/>
  <c r="AK73" i="5"/>
  <c r="R73" i="5"/>
  <c r="AL73" i="5"/>
  <c r="AN73" i="5"/>
  <c r="AP73" i="5"/>
  <c r="L73" i="5"/>
  <c r="AC73" i="5"/>
  <c r="F73" i="5"/>
  <c r="P73" i="5"/>
  <c r="AG73" i="5"/>
  <c r="N73" i="5"/>
  <c r="AI73" i="5"/>
  <c r="D73" i="5"/>
  <c r="H73" i="5"/>
  <c r="AE73" i="5"/>
  <c r="J73" i="5"/>
  <c r="B73" i="5"/>
  <c r="AI74" i="5" l="1"/>
  <c r="V74" i="5"/>
  <c r="F74" i="5"/>
  <c r="D74" i="5"/>
  <c r="AK74" i="5"/>
  <c r="AC74" i="5"/>
  <c r="AL74" i="5"/>
  <c r="N74" i="5"/>
  <c r="J74" i="5"/>
  <c r="R74" i="5"/>
  <c r="R38" i="5" s="1"/>
  <c r="AG74" i="5"/>
  <c r="P74" i="5"/>
  <c r="AA74" i="5"/>
  <c r="X74" i="5"/>
  <c r="B74" i="5"/>
  <c r="U74" i="5"/>
  <c r="L74" i="5"/>
  <c r="AR74" i="5"/>
  <c r="AR38" i="5" s="1"/>
  <c r="AR38" i="6" s="1"/>
  <c r="N38" i="7" s="1"/>
  <c r="AE74" i="5"/>
  <c r="AP74" i="5"/>
  <c r="S74" i="5"/>
  <c r="S38" i="5" s="1"/>
  <c r="H74" i="5"/>
  <c r="AN74" i="5"/>
  <c r="Y7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<sst xmlns="http://schemas.openxmlformats.org/spreadsheetml/2006/main" count="276" uniqueCount="71">
  <si>
    <t>FD</t>
  </si>
  <si>
    <t>HW</t>
  </si>
  <si>
    <t>HB</t>
  </si>
  <si>
    <t>AWR</t>
  </si>
  <si>
    <t>AF</t>
  </si>
  <si>
    <t>BM</t>
  </si>
  <si>
    <t>CR</t>
  </si>
  <si>
    <t>DDG</t>
  </si>
  <si>
    <t>EW</t>
  </si>
  <si>
    <t>EP</t>
  </si>
  <si>
    <t>FM</t>
  </si>
  <si>
    <t>HMD</t>
  </si>
  <si>
    <t>LIB</t>
  </si>
  <si>
    <t>LSST</t>
  </si>
  <si>
    <t>MI</t>
  </si>
  <si>
    <t>PD</t>
  </si>
  <si>
    <t>PS</t>
  </si>
  <si>
    <t>RS</t>
  </si>
  <si>
    <t>SWJ</t>
  </si>
  <si>
    <t>DTW_D</t>
    <phoneticPr fontId="1" type="noConversion"/>
  </si>
  <si>
    <t>ROCKET</t>
    <phoneticPr fontId="1" type="noConversion"/>
  </si>
  <si>
    <t>Hydra</t>
    <phoneticPr fontId="1" type="noConversion"/>
  </si>
  <si>
    <t>LightTS</t>
    <phoneticPr fontId="1" type="noConversion"/>
  </si>
  <si>
    <t>MTS-Mixer</t>
    <phoneticPr fontId="1" type="noConversion"/>
  </si>
  <si>
    <t>TimesNet</t>
    <phoneticPr fontId="1" type="noConversion"/>
  </si>
  <si>
    <t>ModernTCN</t>
    <phoneticPr fontId="1" type="noConversion"/>
  </si>
  <si>
    <t>TSLANet</t>
    <phoneticPr fontId="1" type="noConversion"/>
  </si>
  <si>
    <t>TimeMixer++</t>
    <phoneticPr fontId="1" type="noConversion"/>
  </si>
  <si>
    <t>FEDformer</t>
    <phoneticPr fontId="1" type="noConversion"/>
  </si>
  <si>
    <t>ETSformer</t>
    <phoneticPr fontId="1" type="noConversion"/>
  </si>
  <si>
    <t>PatchTST</t>
    <phoneticPr fontId="1" type="noConversion"/>
  </si>
  <si>
    <t>GPT4TS</t>
    <phoneticPr fontId="1" type="noConversion"/>
  </si>
  <si>
    <t>iTransformer</t>
    <phoneticPr fontId="1" type="noConversion"/>
  </si>
  <si>
    <t>TSCMamba</t>
    <phoneticPr fontId="1" type="noConversion"/>
  </si>
  <si>
    <t>MR+Hydra</t>
    <phoneticPr fontId="1" type="noConversion"/>
  </si>
  <si>
    <t>HC2</t>
    <phoneticPr fontId="1" type="noConversion"/>
  </si>
  <si>
    <t>EC</t>
    <phoneticPr fontId="1" type="noConversion"/>
  </si>
  <si>
    <t>JV</t>
    <phoneticPr fontId="1" type="noConversion"/>
  </si>
  <si>
    <t>PEMS</t>
    <phoneticPr fontId="1" type="noConversion"/>
  </si>
  <si>
    <t>SRS1</t>
    <phoneticPr fontId="1" type="noConversion"/>
  </si>
  <si>
    <t>SRS2</t>
    <phoneticPr fontId="1" type="noConversion"/>
  </si>
  <si>
    <t>SAD</t>
    <phoneticPr fontId="1" type="noConversion"/>
  </si>
  <si>
    <t>UW</t>
    <phoneticPr fontId="1" type="noConversion"/>
  </si>
  <si>
    <t>CT</t>
    <phoneticPr fontId="1" type="noConversion"/>
  </si>
  <si>
    <t>ER</t>
    <phoneticPr fontId="1" type="noConversion"/>
  </si>
  <si>
    <t>IW</t>
    <phoneticPr fontId="1" type="noConversion"/>
  </si>
  <si>
    <t>NATO</t>
    <phoneticPr fontId="1" type="noConversion"/>
  </si>
  <si>
    <t>InterpGN</t>
    <phoneticPr fontId="1" type="noConversion"/>
  </si>
  <si>
    <t>Crossformer</t>
    <phoneticPr fontId="1" type="noConversion"/>
  </si>
  <si>
    <t>ours</t>
    <phoneticPr fontId="1" type="noConversion"/>
  </si>
  <si>
    <t>DLinear</t>
    <phoneticPr fontId="1" type="noConversion"/>
  </si>
  <si>
    <t>Reference</t>
    <phoneticPr fontId="1" type="noConversion"/>
  </si>
  <si>
    <t>TimesNet
TSLANet
TSCMamba</t>
    <phoneticPr fontId="1" type="noConversion"/>
  </si>
  <si>
    <t>BORF</t>
    <phoneticPr fontId="1" type="noConversion"/>
  </si>
  <si>
    <t>revisited</t>
    <phoneticPr fontId="1" type="noConversion"/>
  </si>
  <si>
    <t>ModernTCN
TSLANet
TSCMamba</t>
    <phoneticPr fontId="1" type="noConversion"/>
  </si>
  <si>
    <t>TSC</t>
    <phoneticPr fontId="1" type="noConversion"/>
  </si>
  <si>
    <t>Distance</t>
    <phoneticPr fontId="1" type="noConversion"/>
  </si>
  <si>
    <t>Purpose</t>
    <phoneticPr fontId="1" type="noConversion"/>
  </si>
  <si>
    <t>Model</t>
    <phoneticPr fontId="1" type="noConversion"/>
  </si>
  <si>
    <t>TSF</t>
    <phoneticPr fontId="1" type="noConversion"/>
  </si>
  <si>
    <t>Foundation</t>
  </si>
  <si>
    <t>Foundation</t>
    <phoneticPr fontId="1" type="noConversion"/>
  </si>
  <si>
    <t>original</t>
    <phoneticPr fontId="1" type="noConversion"/>
  </si>
  <si>
    <t>TSLANet
TSCMamba</t>
    <phoneticPr fontId="1" type="noConversion"/>
  </si>
  <si>
    <t>report &gt;= ours</t>
    <phoneticPr fontId="1" type="noConversion"/>
  </si>
  <si>
    <t>report &lt;= ours</t>
    <phoneticPr fontId="1" type="noConversion"/>
  </si>
  <si>
    <t>acc. difference</t>
  </si>
  <si>
    <t>acc. difference</t>
    <phoneticPr fontId="1" type="noConversion"/>
  </si>
  <si>
    <t>report $\leq$ ours</t>
    <phoneticPr fontId="1" type="noConversion"/>
  </si>
  <si>
    <t>report $\geq$ ours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</si>
</sst>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_);[Red]\(0.000\)"/>
    <numFmt numFmtId="178" formatCode="0_);[Red]\(0\)"/>
  </numFmts>
  <fonts count="1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1" fontId="0" fillId="0" borderId="0" xfId="0" applyNumberFormat="1" applyAlignment="1">
      <alignment horizontal="right" vertical="center"/>
    </xf>
    <xf numFmtId="49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2" fillId="0" borderId="0" xfId="0" applyNumberFormat="1" applyFont="1">
      <alignment vertical="center"/>
    </xf>
    <xf numFmtId="177" fontId="12" fillId="0" borderId="0" xfId="0" applyNumberFormat="1" applyFont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78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77" fontId="12" fillId="0" borderId="0" xfId="0" applyNumberFormat="1" applyFont="1">
      <alignment vertical="center"/>
    </xf>
    <xf numFmtId="0" fontId="12" fillId="0" borderId="0" xfId="0" applyFont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77" fontId="9" fillId="0" borderId="0" xfId="0" applyNumberFormat="1" applyFont="1">
      <alignment vertical="center"/>
    </xf>
    <xf numFmtId="1" fontId="0" fillId="3" borderId="0" xfId="0" applyNumberFormat="1" applyFill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4DD4-D3D6-E34C-96EB-D688997A9C8F}">
  <dimension ref="A3:AT109"/>
  <sheetViews>
    <sheetView topLeftCell="A18" zoomScale="75" zoomScaleNormal="91" workbookViewId="0">
      <pane xSplit="1" topLeftCell="AJ1" activePane="topRight" state="frozen"/>
      <selection activeCell="A3" sqref="A3"/>
      <selection pane="topRight" activeCell="U38" sqref="U38"/>
    </sheetView>
  </sheetViews>
  <sheetFormatPr baseColWidth="10" defaultRowHeight="18"/>
  <cols>
    <col min="1" max="1" width="13.85546875" bestFit="1" customWidth="1"/>
    <col min="2" max="2" width="8.7109375" customWidth="1"/>
    <col min="3" max="45" width="8.5703125" customWidth="1"/>
    <col min="46" max="46" width="9.5703125" customWidth="1"/>
  </cols>
  <sheetData>
    <row r="3" spans="1:46">
      <c r="A3" s="12" t="s">
        <v>58</v>
      </c>
      <c r="B3" s="41" t="s">
        <v>57</v>
      </c>
      <c r="C3" s="41"/>
      <c r="D3" s="41" t="s">
        <v>56</v>
      </c>
      <c r="E3" s="41"/>
      <c r="F3" s="41" t="s">
        <v>56</v>
      </c>
      <c r="G3" s="41"/>
      <c r="H3" s="41" t="s">
        <v>56</v>
      </c>
      <c r="I3" s="41"/>
      <c r="J3" s="41" t="s">
        <v>56</v>
      </c>
      <c r="K3" s="41"/>
      <c r="L3" s="42" t="s">
        <v>60</v>
      </c>
      <c r="M3" s="42"/>
      <c r="N3" s="41" t="s">
        <v>60</v>
      </c>
      <c r="O3" s="41"/>
      <c r="P3" s="41" t="s">
        <v>60</v>
      </c>
      <c r="Q3" s="41"/>
      <c r="R3" s="41" t="s">
        <v>62</v>
      </c>
      <c r="S3" s="41"/>
      <c r="T3" s="41"/>
      <c r="U3" s="42" t="s">
        <v>61</v>
      </c>
      <c r="V3" s="42"/>
      <c r="W3" s="42"/>
      <c r="X3" s="41" t="s">
        <v>62</v>
      </c>
      <c r="Y3" s="41"/>
      <c r="Z3" s="41"/>
      <c r="AA3" s="41" t="s">
        <v>62</v>
      </c>
      <c r="AB3" s="41"/>
      <c r="AC3" s="41" t="s">
        <v>60</v>
      </c>
      <c r="AD3" s="41"/>
      <c r="AE3" s="41" t="s">
        <v>60</v>
      </c>
      <c r="AF3" s="41"/>
      <c r="AG3" s="41" t="s">
        <v>60</v>
      </c>
      <c r="AH3" s="41"/>
      <c r="AI3" s="42" t="s">
        <v>60</v>
      </c>
      <c r="AJ3" s="42"/>
      <c r="AK3" s="43" t="s">
        <v>61</v>
      </c>
      <c r="AL3" s="43"/>
      <c r="AM3" s="43"/>
      <c r="AN3" s="42" t="s">
        <v>60</v>
      </c>
      <c r="AO3" s="42"/>
      <c r="AP3" s="41" t="s">
        <v>56</v>
      </c>
      <c r="AQ3" s="41"/>
      <c r="AR3" s="41" t="s">
        <v>56</v>
      </c>
      <c r="AS3" s="41"/>
    </row>
    <row r="4" spans="1:46">
      <c r="A4" s="12" t="s">
        <v>59</v>
      </c>
      <c r="B4" s="41" t="s">
        <v>19</v>
      </c>
      <c r="C4" s="41"/>
      <c r="D4" s="41" t="s">
        <v>20</v>
      </c>
      <c r="E4" s="41"/>
      <c r="F4" s="41" t="s">
        <v>35</v>
      </c>
      <c r="G4" s="41"/>
      <c r="H4" s="41" t="s">
        <v>21</v>
      </c>
      <c r="I4" s="41"/>
      <c r="J4" s="41" t="s">
        <v>34</v>
      </c>
      <c r="K4" s="41"/>
      <c r="L4" s="42" t="s">
        <v>50</v>
      </c>
      <c r="M4" s="42"/>
      <c r="N4" s="41" t="s">
        <v>22</v>
      </c>
      <c r="O4" s="41"/>
      <c r="P4" s="41" t="s">
        <v>23</v>
      </c>
      <c r="Q4" s="41"/>
      <c r="R4" s="41" t="s">
        <v>24</v>
      </c>
      <c r="S4" s="41"/>
      <c r="T4" s="41"/>
      <c r="U4" s="42" t="s">
        <v>25</v>
      </c>
      <c r="V4" s="42"/>
      <c r="W4" s="42"/>
      <c r="X4" s="41" t="s">
        <v>26</v>
      </c>
      <c r="Y4" s="41"/>
      <c r="Z4" s="41"/>
      <c r="AA4" s="41" t="s">
        <v>27</v>
      </c>
      <c r="AB4" s="41"/>
      <c r="AC4" s="41" t="s">
        <v>28</v>
      </c>
      <c r="AD4" s="41"/>
      <c r="AE4" s="41" t="s">
        <v>29</v>
      </c>
      <c r="AF4" s="41"/>
      <c r="AG4" s="41" t="s">
        <v>48</v>
      </c>
      <c r="AH4" s="41"/>
      <c r="AI4" s="42" t="s">
        <v>30</v>
      </c>
      <c r="AJ4" s="42"/>
      <c r="AK4" s="42" t="s">
        <v>31</v>
      </c>
      <c r="AL4" s="42"/>
      <c r="AM4" s="42"/>
      <c r="AN4" s="42" t="s">
        <v>32</v>
      </c>
      <c r="AO4" s="42"/>
      <c r="AP4" s="41" t="s">
        <v>47</v>
      </c>
      <c r="AQ4" s="41"/>
      <c r="AR4" s="41" t="s">
        <v>33</v>
      </c>
      <c r="AS4" s="41"/>
      <c r="AT4" s="3"/>
    </row>
    <row r="5" spans="1:46" ht="55" customHeight="1">
      <c r="A5" s="12" t="s">
        <v>51</v>
      </c>
      <c r="B5" s="3" t="s">
        <v>24</v>
      </c>
      <c r="C5" s="7" t="s">
        <v>49</v>
      </c>
      <c r="D5" s="13" t="s">
        <v>52</v>
      </c>
      <c r="E5" s="7" t="s">
        <v>49</v>
      </c>
      <c r="F5" s="3" t="s">
        <v>63</v>
      </c>
      <c r="G5" s="7" t="s">
        <v>49</v>
      </c>
      <c r="H5" s="3" t="s">
        <v>53</v>
      </c>
      <c r="I5" s="7" t="s">
        <v>49</v>
      </c>
      <c r="J5" s="3" t="s">
        <v>53</v>
      </c>
      <c r="K5" s="7" t="s">
        <v>49</v>
      </c>
      <c r="L5" s="13" t="s">
        <v>52</v>
      </c>
      <c r="M5" s="7" t="s">
        <v>49</v>
      </c>
      <c r="N5" s="3" t="s">
        <v>24</v>
      </c>
      <c r="O5" s="7" t="s">
        <v>49</v>
      </c>
      <c r="P5" s="3" t="s">
        <v>25</v>
      </c>
      <c r="Q5" s="7" t="s">
        <v>49</v>
      </c>
      <c r="R5" s="13" t="s">
        <v>63</v>
      </c>
      <c r="S5" s="13" t="s">
        <v>64</v>
      </c>
      <c r="T5" s="7" t="s">
        <v>49</v>
      </c>
      <c r="U5" s="3" t="s">
        <v>63</v>
      </c>
      <c r="V5" s="3" t="s">
        <v>54</v>
      </c>
      <c r="W5" s="7" t="s">
        <v>49</v>
      </c>
      <c r="X5" s="3" t="s">
        <v>63</v>
      </c>
      <c r="Y5" s="3" t="s">
        <v>33</v>
      </c>
      <c r="Z5" s="7" t="s">
        <v>49</v>
      </c>
      <c r="AA5" s="3" t="s">
        <v>63</v>
      </c>
      <c r="AB5" s="7" t="s">
        <v>49</v>
      </c>
      <c r="AC5" s="3" t="s">
        <v>24</v>
      </c>
      <c r="AD5" s="7" t="s">
        <v>49</v>
      </c>
      <c r="AE5" s="3" t="s">
        <v>24</v>
      </c>
      <c r="AF5" s="7" t="s">
        <v>49</v>
      </c>
      <c r="AG5" s="14" t="s">
        <v>55</v>
      </c>
      <c r="AH5" s="7" t="s">
        <v>49</v>
      </c>
      <c r="AI5" s="14" t="s">
        <v>55</v>
      </c>
      <c r="AJ5" s="7" t="s">
        <v>49</v>
      </c>
      <c r="AK5" s="3" t="s">
        <v>63</v>
      </c>
      <c r="AL5" s="13" t="s">
        <v>64</v>
      </c>
      <c r="AM5" s="7" t="s">
        <v>49</v>
      </c>
      <c r="AN5" s="15" t="s">
        <v>27</v>
      </c>
      <c r="AO5" s="7" t="s">
        <v>49</v>
      </c>
      <c r="AP5" s="3" t="s">
        <v>63</v>
      </c>
      <c r="AQ5" s="7" t="s">
        <v>49</v>
      </c>
      <c r="AR5" s="3" t="s">
        <v>63</v>
      </c>
      <c r="AS5" s="7" t="s">
        <v>49</v>
      </c>
      <c r="AT5" s="3"/>
    </row>
    <row r="6" spans="1:46">
      <c r="A6" s="8" t="s">
        <v>36</v>
      </c>
      <c r="B6" s="9">
        <v>32.28136882129278</v>
      </c>
      <c r="C6" s="9">
        <v>32.319391634980988</v>
      </c>
      <c r="D6" s="9">
        <v>45.20912547528517</v>
      </c>
      <c r="E6" s="9">
        <v>44.486692015209123</v>
      </c>
      <c r="F6" s="9">
        <v>79.087452471482891</v>
      </c>
      <c r="G6" s="9">
        <v>52.851711026615966</v>
      </c>
      <c r="H6" s="9">
        <v>54.79087452471483</v>
      </c>
      <c r="I6" s="9">
        <v>54.372623574144484</v>
      </c>
      <c r="J6" s="9">
        <v>58.897338403041829</v>
      </c>
      <c r="K6" s="9">
        <v>60.076045627376431</v>
      </c>
      <c r="L6" s="9">
        <v>33.460076045627375</v>
      </c>
      <c r="M6" s="9">
        <v>31.178707224334602</v>
      </c>
      <c r="N6" s="9">
        <v>29.695817490494292</v>
      </c>
      <c r="O6" s="9">
        <v>32.319391634980988</v>
      </c>
      <c r="P6" s="9">
        <v>33.802281368821298</v>
      </c>
      <c r="Q6" s="9">
        <v>30.798479087452474</v>
      </c>
      <c r="R6" s="9">
        <v>35.70342205323194</v>
      </c>
      <c r="S6" s="9">
        <v>27.718631178707227</v>
      </c>
      <c r="T6" s="9">
        <v>33.460076045627375</v>
      </c>
      <c r="U6" s="9">
        <v>36.311787072243348</v>
      </c>
      <c r="V6" s="9">
        <v>31.901140684410649</v>
      </c>
      <c r="W6" s="9">
        <v>32.319391634980988</v>
      </c>
      <c r="X6" s="9">
        <v>30.418250950570343</v>
      </c>
      <c r="Y6" s="9"/>
      <c r="Z6" s="9">
        <v>31.939163498098861</v>
      </c>
      <c r="AA6" s="9">
        <v>39.885931558935361</v>
      </c>
      <c r="AB6" s="9">
        <v>34.600760456273768</v>
      </c>
      <c r="AC6" s="9">
        <v>31.21673003802281</v>
      </c>
      <c r="AD6" s="9">
        <v>33.840304182509506</v>
      </c>
      <c r="AE6" s="9">
        <v>28.098859315589358</v>
      </c>
      <c r="AF6" s="9">
        <v>33.079847908745244</v>
      </c>
      <c r="AG6" s="9">
        <v>37.984790874524712</v>
      </c>
      <c r="AH6" s="9">
        <v>43.346007604562736</v>
      </c>
      <c r="AI6" s="9">
        <v>32.813688212927758</v>
      </c>
      <c r="AJ6" s="9">
        <v>32.699619771863119</v>
      </c>
      <c r="AK6" s="9">
        <v>34.182509505703422</v>
      </c>
      <c r="AL6" s="9">
        <v>25.475285171102662</v>
      </c>
      <c r="AM6" s="9">
        <v>32.319391634980988</v>
      </c>
      <c r="AN6" s="9">
        <v>28.098859315589358</v>
      </c>
      <c r="AO6" s="9">
        <v>31.939163498098861</v>
      </c>
      <c r="AP6" s="9">
        <v>30.418250950570343</v>
      </c>
      <c r="AQ6" s="9">
        <v>28.897338403041822</v>
      </c>
      <c r="AR6" s="9">
        <v>62.01520912547528</v>
      </c>
      <c r="AS6" s="9">
        <v>30.798479087452474</v>
      </c>
      <c r="AT6" s="9"/>
    </row>
    <row r="7" spans="1:46">
      <c r="A7" s="8" t="s">
        <v>0</v>
      </c>
      <c r="B7" s="9">
        <v>52.900113507377981</v>
      </c>
      <c r="C7" s="9">
        <v>52.86606129398411</v>
      </c>
      <c r="D7" s="9">
        <v>64.699205448354149</v>
      </c>
      <c r="E7" s="9">
        <v>61.606129398410893</v>
      </c>
      <c r="F7" s="9">
        <v>71.347900113507379</v>
      </c>
      <c r="G7" s="9">
        <v>61.379114642451761</v>
      </c>
      <c r="H7" s="9">
        <v>52.301362088535754</v>
      </c>
      <c r="I7" s="9">
        <v>60.981838819523269</v>
      </c>
      <c r="J7" s="9">
        <v>61.901248581157773</v>
      </c>
      <c r="K7" s="9">
        <v>61.293984108967081</v>
      </c>
      <c r="L7" s="9">
        <v>67.999432463110111</v>
      </c>
      <c r="M7" s="9">
        <v>69.494892167990912</v>
      </c>
      <c r="N7" s="9">
        <v>67.5</v>
      </c>
      <c r="O7" s="9">
        <v>68.473325766174796</v>
      </c>
      <c r="P7" s="9">
        <v>70.198637911464246</v>
      </c>
      <c r="Q7" s="9">
        <v>68.530079455164582</v>
      </c>
      <c r="R7" s="9">
        <v>68.601021566401826</v>
      </c>
      <c r="S7" s="9">
        <v>67.468785471055611</v>
      </c>
      <c r="T7" s="9">
        <v>70.147559591373437</v>
      </c>
      <c r="U7" s="9">
        <v>70.800227014755961</v>
      </c>
      <c r="V7" s="9">
        <v>68.700340522133942</v>
      </c>
      <c r="W7" s="9">
        <v>66.997729852440415</v>
      </c>
      <c r="X7" s="9">
        <v>66.770715096481268</v>
      </c>
      <c r="Y7" s="9"/>
      <c r="Z7" s="9">
        <v>66.969353007945514</v>
      </c>
      <c r="AA7" s="9">
        <v>71.799091940976155</v>
      </c>
      <c r="AB7" s="9">
        <v>69.665153234960272</v>
      </c>
      <c r="AC7" s="9">
        <v>65.998864926220207</v>
      </c>
      <c r="AD7" s="9">
        <v>69.892167990919404</v>
      </c>
      <c r="AE7" s="9">
        <v>66.299659477866072</v>
      </c>
      <c r="AF7" s="9">
        <v>68.33144154370035</v>
      </c>
      <c r="AG7" s="9">
        <v>68.700340522133942</v>
      </c>
      <c r="AH7" s="9">
        <v>69.636776390465386</v>
      </c>
      <c r="AI7" s="9">
        <v>68.961407491486938</v>
      </c>
      <c r="AJ7" s="9">
        <v>68.076049943246304</v>
      </c>
      <c r="AK7" s="9">
        <v>69.199772985244039</v>
      </c>
      <c r="AL7" s="9">
        <v>65.578887627695806</v>
      </c>
      <c r="AM7" s="9">
        <v>68.615209988649255</v>
      </c>
      <c r="AN7" s="9">
        <v>66.299659477866072</v>
      </c>
      <c r="AO7" s="9">
        <v>68.416572077185009</v>
      </c>
      <c r="AP7" s="9">
        <v>66.401816118047677</v>
      </c>
      <c r="AQ7" s="9">
        <v>63.791146424517599</v>
      </c>
      <c r="AR7" s="9">
        <v>69.401248581157773</v>
      </c>
      <c r="AS7" s="9">
        <v>70.204313280363223</v>
      </c>
      <c r="AT7" s="9"/>
    </row>
    <row r="8" spans="1:46">
      <c r="A8" s="8" t="s">
        <v>1</v>
      </c>
      <c r="B8" s="9">
        <v>28.599999999999998</v>
      </c>
      <c r="C8" s="9">
        <v>60.705882352941174</v>
      </c>
      <c r="D8" s="9">
        <v>58.8</v>
      </c>
      <c r="E8" s="9">
        <v>59.294117647058819</v>
      </c>
      <c r="F8" s="9">
        <v>56.341176470588231</v>
      </c>
      <c r="G8" s="9">
        <v>56.000000000000007</v>
      </c>
      <c r="H8" s="9">
        <v>46.6</v>
      </c>
      <c r="I8" s="9">
        <v>56.35294117647058</v>
      </c>
      <c r="J8" s="9">
        <v>51.4</v>
      </c>
      <c r="K8" s="9">
        <v>53.529411764705884</v>
      </c>
      <c r="L8" s="9">
        <v>27</v>
      </c>
      <c r="M8" s="9">
        <v>23.764705882352942</v>
      </c>
      <c r="N8" s="9">
        <v>26.10588235294118</v>
      </c>
      <c r="O8" s="9">
        <v>25.058823529411768</v>
      </c>
      <c r="P8" s="9">
        <v>26</v>
      </c>
      <c r="Q8" s="9">
        <v>19.647058823529413</v>
      </c>
      <c r="R8" s="9">
        <v>32.105882352941173</v>
      </c>
      <c r="S8" s="9">
        <v>26.176470588235297</v>
      </c>
      <c r="T8" s="9">
        <v>37.529411764705884</v>
      </c>
      <c r="U8" s="9">
        <v>30.600000000000005</v>
      </c>
      <c r="V8" s="9">
        <v>28.400000000000002</v>
      </c>
      <c r="W8" s="9">
        <v>30.117647058823525</v>
      </c>
      <c r="X8" s="9">
        <v>57.882352941176471</v>
      </c>
      <c r="Y8" s="9"/>
      <c r="Z8" s="9">
        <v>62</v>
      </c>
      <c r="AA8" s="9">
        <v>26.505882352941178</v>
      </c>
      <c r="AB8" s="9">
        <v>33.647058823529413</v>
      </c>
      <c r="AC8" s="9">
        <v>28.000000000000004</v>
      </c>
      <c r="AD8" s="9">
        <v>33.411764705882355</v>
      </c>
      <c r="AE8" s="9">
        <v>32.505882352941178</v>
      </c>
      <c r="AF8" s="9">
        <v>35.647058823529406</v>
      </c>
      <c r="AG8" s="9">
        <v>28.800000000000004</v>
      </c>
      <c r="AH8" s="9">
        <v>30.352941176470587</v>
      </c>
      <c r="AI8" s="9">
        <v>29.599999999999998</v>
      </c>
      <c r="AJ8" s="9">
        <v>29.52941176470588</v>
      </c>
      <c r="AK8" s="9">
        <v>32.705882352941181</v>
      </c>
      <c r="AL8" s="9">
        <v>3.7647058823529407</v>
      </c>
      <c r="AM8" s="9">
        <v>34.117647058823529</v>
      </c>
      <c r="AN8" s="9">
        <v>24.2</v>
      </c>
      <c r="AO8" s="9">
        <v>31.294117647058822</v>
      </c>
      <c r="AP8" s="9">
        <v>61.882352941176464</v>
      </c>
      <c r="AQ8" s="9">
        <v>58.705882352941174</v>
      </c>
      <c r="AR8" s="9">
        <v>53.305882352941182</v>
      </c>
      <c r="AS8" s="9">
        <v>45.058823529411761</v>
      </c>
      <c r="AT8" s="9"/>
    </row>
    <row r="9" spans="1:46">
      <c r="A9" s="8" t="s">
        <v>2</v>
      </c>
      <c r="B9" s="9">
        <v>71.707317073170728</v>
      </c>
      <c r="C9" s="9">
        <v>71.707317073170728</v>
      </c>
      <c r="D9" s="9">
        <v>75.609756097560975</v>
      </c>
      <c r="E9" s="9">
        <v>75.609756097560975</v>
      </c>
      <c r="F9" s="9">
        <v>72.878048780487802</v>
      </c>
      <c r="G9" s="9">
        <v>78.536585365853668</v>
      </c>
      <c r="H9" s="9">
        <v>76.097560975609753</v>
      </c>
      <c r="I9" s="9">
        <v>76.585365853658544</v>
      </c>
      <c r="J9" s="9">
        <v>73.219512195121951</v>
      </c>
      <c r="K9" s="9">
        <v>77.073170731707322</v>
      </c>
      <c r="L9" s="9">
        <v>75.121951219512198</v>
      </c>
      <c r="M9" s="9">
        <v>76.585365853658544</v>
      </c>
      <c r="N9" s="9">
        <v>75.121951219512198</v>
      </c>
      <c r="O9" s="9">
        <v>77.560975609756099</v>
      </c>
      <c r="P9" s="9">
        <v>77.121951219512198</v>
      </c>
      <c r="Q9" s="9">
        <v>79.024390243902445</v>
      </c>
      <c r="R9" s="9">
        <v>78</v>
      </c>
      <c r="S9" s="9">
        <v>74.487804878048777</v>
      </c>
      <c r="T9" s="9">
        <v>83.902439024390247</v>
      </c>
      <c r="U9" s="9">
        <v>77.219512195121951</v>
      </c>
      <c r="V9" s="9">
        <v>77.121951219512198</v>
      </c>
      <c r="W9" s="9">
        <v>78.048780487804876</v>
      </c>
      <c r="X9" s="9">
        <v>77.560975609756099</v>
      </c>
      <c r="Y9" s="9"/>
      <c r="Z9" s="9">
        <v>79.512195121951223</v>
      </c>
      <c r="AA9" s="9">
        <v>79.121951219512184</v>
      </c>
      <c r="AB9" s="9">
        <v>80.487804878048792</v>
      </c>
      <c r="AC9" s="9">
        <v>73.707317073170728</v>
      </c>
      <c r="AD9" s="9">
        <v>78.048780487804876</v>
      </c>
      <c r="AE9" s="9">
        <v>71.219512195121951</v>
      </c>
      <c r="AF9" s="9">
        <v>78.536585365853668</v>
      </c>
      <c r="AG9" s="9">
        <v>77.609756097560975</v>
      </c>
      <c r="AH9" s="9">
        <v>79.024390243902445</v>
      </c>
      <c r="AI9" s="9">
        <v>76.585365853658544</v>
      </c>
      <c r="AJ9" s="9">
        <v>73.658536585365852</v>
      </c>
      <c r="AK9" s="9">
        <v>77.219512195121951</v>
      </c>
      <c r="AL9" s="9">
        <v>36.585365853658537</v>
      </c>
      <c r="AM9" s="9">
        <v>79.024390243902445</v>
      </c>
      <c r="AN9" s="9">
        <v>75.609756097560975</v>
      </c>
      <c r="AO9" s="9">
        <v>78.048780487804876</v>
      </c>
      <c r="AP9" s="9">
        <v>79.512195121951223</v>
      </c>
      <c r="AQ9" s="9">
        <v>80.487804878048792</v>
      </c>
      <c r="AR9" s="9">
        <v>76.585365853658544</v>
      </c>
      <c r="AS9" s="9">
        <v>78.536585365853668</v>
      </c>
      <c r="AT9" s="9"/>
    </row>
    <row r="10" spans="1:46">
      <c r="A10" s="8" t="s">
        <v>37</v>
      </c>
      <c r="B10" s="9">
        <v>94.891891891891902</v>
      </c>
      <c r="C10" s="9">
        <v>95.945945945945937</v>
      </c>
      <c r="D10" s="9">
        <v>96.189189189189179</v>
      </c>
      <c r="E10" s="9">
        <v>83.78378378378379</v>
      </c>
      <c r="F10" s="9"/>
      <c r="G10" s="9">
        <v>98.378378378378386</v>
      </c>
      <c r="H10" s="9">
        <v>97.810810810810807</v>
      </c>
      <c r="I10" s="9">
        <v>97.837837837837839</v>
      </c>
      <c r="J10" s="9">
        <v>97.810810810810807</v>
      </c>
      <c r="K10" s="9">
        <v>98.378378378378386</v>
      </c>
      <c r="L10" s="9">
        <v>97.837837837837839</v>
      </c>
      <c r="M10" s="9">
        <v>96.486486486486484</v>
      </c>
      <c r="N10" s="9">
        <v>96.189189189189179</v>
      </c>
      <c r="O10" s="9">
        <v>96.756756756756758</v>
      </c>
      <c r="P10" s="9">
        <v>94.297297297297291</v>
      </c>
      <c r="Q10" s="9">
        <v>95.945945945945937</v>
      </c>
      <c r="R10" s="9">
        <v>98.405405405405418</v>
      </c>
      <c r="S10" s="9">
        <v>97.837837837837839</v>
      </c>
      <c r="T10" s="9">
        <v>98.648648648648646</v>
      </c>
      <c r="U10" s="9">
        <v>98.810810810810807</v>
      </c>
      <c r="V10" s="9">
        <v>98.108108108108098</v>
      </c>
      <c r="W10" s="9">
        <v>98.648648648648646</v>
      </c>
      <c r="X10" s="9">
        <v>99.189189189189193</v>
      </c>
      <c r="Y10" s="9"/>
      <c r="Z10" s="9">
        <v>98.918918918918919</v>
      </c>
      <c r="AA10" s="9">
        <v>97.891891891891888</v>
      </c>
      <c r="AB10" s="9">
        <v>99.189189189189193</v>
      </c>
      <c r="AC10" s="9">
        <v>98.405405405405418</v>
      </c>
      <c r="AD10" s="9">
        <v>97.567567567567565</v>
      </c>
      <c r="AE10" s="9">
        <v>95.891891891891888</v>
      </c>
      <c r="AF10" s="9">
        <v>98.378378378378386</v>
      </c>
      <c r="AG10" s="9">
        <v>99.108108108108112</v>
      </c>
      <c r="AH10" s="9">
        <v>98.378378378378386</v>
      </c>
      <c r="AI10" s="9">
        <v>98.648648648648646</v>
      </c>
      <c r="AJ10" s="9">
        <v>97.027027027027017</v>
      </c>
      <c r="AK10" s="9">
        <v>98.594594594594597</v>
      </c>
      <c r="AL10" s="9">
        <v>98.108108108108098</v>
      </c>
      <c r="AM10" s="9">
        <v>98.108108108108098</v>
      </c>
      <c r="AN10" s="9">
        <v>96.594594594594582</v>
      </c>
      <c r="AO10" s="9">
        <v>98.108108108108098</v>
      </c>
      <c r="AP10" s="9">
        <v>99.189189189189193</v>
      </c>
      <c r="AQ10" s="9">
        <v>99.729729729729726</v>
      </c>
      <c r="AR10" s="9">
        <v>97</v>
      </c>
      <c r="AS10" s="9">
        <v>98.378378378378386</v>
      </c>
      <c r="AT10" s="9"/>
    </row>
    <row r="11" spans="1:46">
      <c r="A11" s="8" t="s">
        <v>38</v>
      </c>
      <c r="B11" s="9">
        <v>71.098265895953759</v>
      </c>
      <c r="C11" s="9">
        <v>71.098265895953759</v>
      </c>
      <c r="D11" s="9">
        <v>75.086705202312146</v>
      </c>
      <c r="E11" s="9">
        <v>84.393063583815035</v>
      </c>
      <c r="F11" s="9">
        <v>99.826589595375708</v>
      </c>
      <c r="G11" s="9">
        <v>97.687861271676297</v>
      </c>
      <c r="H11" s="9">
        <v>80.289017341040463</v>
      </c>
      <c r="I11" s="9">
        <v>98.265895953757223</v>
      </c>
      <c r="J11" s="9">
        <v>77.51445086705202</v>
      </c>
      <c r="K11" s="9">
        <v>82.658959537572258</v>
      </c>
      <c r="L11" s="9">
        <v>82.080924855491332</v>
      </c>
      <c r="M11" s="9">
        <v>82.658959537572258</v>
      </c>
      <c r="N11" s="9">
        <v>88.381502890173408</v>
      </c>
      <c r="O11" s="9">
        <v>87.861271676300575</v>
      </c>
      <c r="P11" s="9">
        <v>80.924855491329481</v>
      </c>
      <c r="Q11" s="9">
        <v>82.080924855491332</v>
      </c>
      <c r="R11" s="9">
        <v>89.595375722543352</v>
      </c>
      <c r="S11" s="9">
        <v>88.150289017341038</v>
      </c>
      <c r="T11" s="9">
        <v>87.861271676300575</v>
      </c>
      <c r="U11" s="9">
        <v>89.075144508670519</v>
      </c>
      <c r="V11" s="9">
        <v>83.179190751445091</v>
      </c>
      <c r="W11" s="9">
        <v>86.705202312138724</v>
      </c>
      <c r="X11" s="9">
        <v>83.815028901734095</v>
      </c>
      <c r="Y11" s="9"/>
      <c r="Z11" s="9">
        <v>89.017341040462426</v>
      </c>
      <c r="AA11" s="9">
        <v>90.982658959537574</v>
      </c>
      <c r="AB11" s="9">
        <v>89.017341040462426</v>
      </c>
      <c r="AC11" s="9">
        <v>80.924855491329481</v>
      </c>
      <c r="AD11" s="9">
        <v>89.017341040462426</v>
      </c>
      <c r="AE11" s="9">
        <v>86.011560693641627</v>
      </c>
      <c r="AF11" s="9">
        <v>87.861271676300575</v>
      </c>
      <c r="AG11" s="9">
        <v>85.895953757225428</v>
      </c>
      <c r="AH11" s="9">
        <v>89.595375722543352</v>
      </c>
      <c r="AI11" s="9">
        <v>89.306358381502889</v>
      </c>
      <c r="AJ11" s="9">
        <v>89.017341040462426</v>
      </c>
      <c r="AK11" s="9">
        <v>87.919075144508668</v>
      </c>
      <c r="AL11" s="9">
        <v>87.283236994219649</v>
      </c>
      <c r="AM11" s="9">
        <v>88.439306358381501</v>
      </c>
      <c r="AN11" s="9">
        <v>87.919075144508668</v>
      </c>
      <c r="AO11" s="9">
        <v>91.329479768786129</v>
      </c>
      <c r="AP11" s="9">
        <v>88.439306358381501</v>
      </c>
      <c r="AQ11" s="9">
        <v>86.127167630057798</v>
      </c>
      <c r="AR11" s="9">
        <v>90.173410404624278</v>
      </c>
      <c r="AS11" s="9">
        <v>90.173410404624278</v>
      </c>
      <c r="AT11" s="9"/>
    </row>
    <row r="12" spans="1:46">
      <c r="A12" s="8" t="s">
        <v>39</v>
      </c>
      <c r="B12" s="9">
        <v>77.713310580204777</v>
      </c>
      <c r="C12" s="9">
        <v>77.474402730375431</v>
      </c>
      <c r="D12" s="9">
        <v>90.784982935153579</v>
      </c>
      <c r="E12" s="9">
        <v>85.665529010238899</v>
      </c>
      <c r="F12" s="9">
        <v>87.883959044368595</v>
      </c>
      <c r="G12" s="9">
        <v>89.078498293515366</v>
      </c>
      <c r="H12" s="9">
        <v>86.689419795221852</v>
      </c>
      <c r="I12" s="9">
        <v>86.689419795221852</v>
      </c>
      <c r="J12" s="9">
        <v>95.187713310580207</v>
      </c>
      <c r="K12" s="9">
        <v>94.88054607508532</v>
      </c>
      <c r="L12" s="9">
        <v>88.395904436860079</v>
      </c>
      <c r="M12" s="9">
        <v>92.832764505119457</v>
      </c>
      <c r="N12" s="9">
        <v>89.795221843003432</v>
      </c>
      <c r="O12" s="9">
        <v>92.832764505119457</v>
      </c>
      <c r="P12" s="9">
        <v>91.706484641638212</v>
      </c>
      <c r="Q12" s="9">
        <v>78.839590443686006</v>
      </c>
      <c r="R12" s="9">
        <v>91.808873720136518</v>
      </c>
      <c r="S12" s="9">
        <v>77.440273037542667</v>
      </c>
      <c r="T12" s="9">
        <v>92.150170648464169</v>
      </c>
      <c r="U12" s="9">
        <v>93.412969283276453</v>
      </c>
      <c r="V12" s="9">
        <v>92.798634812286679</v>
      </c>
      <c r="W12" s="9">
        <v>93.515358361774744</v>
      </c>
      <c r="X12" s="9">
        <v>91.808873720136518</v>
      </c>
      <c r="Y12" s="9"/>
      <c r="Z12" s="9">
        <v>89.761092150170654</v>
      </c>
      <c r="AA12" s="9">
        <v>93.105802047781566</v>
      </c>
      <c r="AB12" s="9">
        <v>92.150170648464169</v>
      </c>
      <c r="AC12" s="9">
        <v>88.703071672354938</v>
      </c>
      <c r="AD12" s="9">
        <v>75.085324232081902</v>
      </c>
      <c r="AE12" s="9">
        <v>89.590443686006822</v>
      </c>
      <c r="AF12" s="9">
        <v>92.150170648464169</v>
      </c>
      <c r="AG12" s="9">
        <v>92.491467576791806</v>
      </c>
      <c r="AH12" s="9">
        <v>93.856655290102381</v>
      </c>
      <c r="AI12" s="9">
        <v>90.716723549488052</v>
      </c>
      <c r="AJ12" s="9">
        <v>89.078498293515366</v>
      </c>
      <c r="AK12" s="9">
        <v>93.208191126279871</v>
      </c>
      <c r="AL12" s="9">
        <v>91.467576791808867</v>
      </c>
      <c r="AM12" s="9">
        <v>93.174061433447093</v>
      </c>
      <c r="AN12" s="9">
        <v>90.204778156996596</v>
      </c>
      <c r="AO12" s="9">
        <v>93.856655290102381</v>
      </c>
      <c r="AP12" s="9">
        <v>92.491467576791806</v>
      </c>
      <c r="AQ12" s="9">
        <v>90.443686006825942</v>
      </c>
      <c r="AR12" s="9">
        <v>92.491467576791806</v>
      </c>
      <c r="AS12" s="9">
        <v>92.832764505119457</v>
      </c>
      <c r="AT12" s="9"/>
    </row>
    <row r="13" spans="1:46">
      <c r="A13" s="8" t="s">
        <v>40</v>
      </c>
      <c r="B13" s="9">
        <v>53.888888888888886</v>
      </c>
      <c r="C13" s="9">
        <v>53.888888888888886</v>
      </c>
      <c r="D13" s="9">
        <v>54.444444444444443</v>
      </c>
      <c r="E13" s="9">
        <v>55.555555555555557</v>
      </c>
      <c r="F13" s="9">
        <v>50.44444444444445</v>
      </c>
      <c r="G13" s="9">
        <v>54.444444444444443</v>
      </c>
      <c r="H13" s="9">
        <v>58.888888888888893</v>
      </c>
      <c r="I13" s="9">
        <v>58.888888888888893</v>
      </c>
      <c r="J13" s="9">
        <v>56.722222222222221</v>
      </c>
      <c r="K13" s="9">
        <v>55.000000000000007</v>
      </c>
      <c r="L13" s="9">
        <v>51.666666666666671</v>
      </c>
      <c r="M13" s="9">
        <v>57.222222222222221</v>
      </c>
      <c r="N13" s="9">
        <v>51.111111111111107</v>
      </c>
      <c r="O13" s="9">
        <v>59.444444444444443</v>
      </c>
      <c r="P13" s="9">
        <v>55.000000000000007</v>
      </c>
      <c r="Q13" s="9">
        <v>58.333333333333336</v>
      </c>
      <c r="R13" s="9">
        <v>57.222222222222221</v>
      </c>
      <c r="S13" s="9">
        <v>52.833333333333329</v>
      </c>
      <c r="T13" s="9">
        <v>60</v>
      </c>
      <c r="U13" s="9">
        <v>60.277777777777771</v>
      </c>
      <c r="V13" s="9">
        <v>61.722222222222221</v>
      </c>
      <c r="W13" s="9">
        <v>60</v>
      </c>
      <c r="X13" s="9">
        <v>61.666666666666671</v>
      </c>
      <c r="Y13" s="9"/>
      <c r="Z13" s="9">
        <v>63.888888888888886</v>
      </c>
      <c r="AA13" s="9">
        <v>65.611111111111114</v>
      </c>
      <c r="AB13" s="9">
        <v>60.55555555555555</v>
      </c>
      <c r="AC13" s="9">
        <v>54.388888888888886</v>
      </c>
      <c r="AD13" s="9">
        <v>59.444444444444443</v>
      </c>
      <c r="AE13" s="9">
        <v>55.000000000000007</v>
      </c>
      <c r="AF13" s="9">
        <v>60</v>
      </c>
      <c r="AG13" s="9">
        <v>58.277777777777786</v>
      </c>
      <c r="AH13" s="9">
        <v>61.666666666666671</v>
      </c>
      <c r="AI13" s="9">
        <v>57.777777777777771</v>
      </c>
      <c r="AJ13" s="9">
        <v>61.666666666666671</v>
      </c>
      <c r="AK13" s="9">
        <v>59.388888888888893</v>
      </c>
      <c r="AL13" s="9">
        <v>51.666666666666671</v>
      </c>
      <c r="AM13" s="9">
        <v>60.55555555555555</v>
      </c>
      <c r="AN13" s="9">
        <v>54.388888888888886</v>
      </c>
      <c r="AO13" s="9">
        <v>58.888888888888893</v>
      </c>
      <c r="AP13" s="9">
        <v>57.777777777777771</v>
      </c>
      <c r="AQ13" s="9">
        <v>58.333333333333336</v>
      </c>
      <c r="AR13" s="9">
        <v>66.722222222222214</v>
      </c>
      <c r="AS13" s="9">
        <v>62.222222222222221</v>
      </c>
      <c r="AT13" s="9"/>
    </row>
    <row r="14" spans="1:46">
      <c r="A14" s="8" t="s">
        <v>41</v>
      </c>
      <c r="B14" s="9">
        <v>96.298317417007723</v>
      </c>
      <c r="C14" s="9">
        <v>97.226011823556163</v>
      </c>
      <c r="D14" s="9">
        <v>99.199636198271946</v>
      </c>
      <c r="E14" s="9">
        <v>99.226921327876312</v>
      </c>
      <c r="F14" s="9"/>
      <c r="G14" s="9">
        <v>99.13597089586176</v>
      </c>
      <c r="H14" s="9">
        <v>98.899499772623926</v>
      </c>
      <c r="I14" s="9">
        <v>99.13597089586176</v>
      </c>
      <c r="J14" s="9">
        <v>99.299681673487953</v>
      </c>
      <c r="K14" s="9">
        <v>99.045020463847194</v>
      </c>
      <c r="L14" s="9">
        <v>96.680309231468854</v>
      </c>
      <c r="M14" s="9">
        <v>96.953160527512509</v>
      </c>
      <c r="N14" s="9">
        <v>100</v>
      </c>
      <c r="O14" s="9">
        <v>98.226466575716231</v>
      </c>
      <c r="P14" s="9">
        <v>97.398817644383811</v>
      </c>
      <c r="Q14" s="9">
        <v>99.454297407912691</v>
      </c>
      <c r="R14" s="9">
        <v>98.999545247839933</v>
      </c>
      <c r="S14" s="9">
        <v>98.35834470213733</v>
      </c>
      <c r="T14" s="9">
        <v>99.545247839927242</v>
      </c>
      <c r="U14" s="9">
        <v>98.699408822191913</v>
      </c>
      <c r="V14" s="9">
        <v>98.099135970895858</v>
      </c>
      <c r="W14" s="9">
        <v>99.499772623919966</v>
      </c>
      <c r="X14" s="9">
        <v>99.909049567985448</v>
      </c>
      <c r="Y14" s="9"/>
      <c r="Z14" s="9">
        <v>98.044565711687127</v>
      </c>
      <c r="AA14" s="9">
        <v>99.799909049567987</v>
      </c>
      <c r="AB14" s="9">
        <v>99.545247839927242</v>
      </c>
      <c r="AC14" s="9">
        <v>100</v>
      </c>
      <c r="AD14" s="9">
        <v>99.454297407912691</v>
      </c>
      <c r="AE14" s="9">
        <v>100</v>
      </c>
      <c r="AF14" s="9">
        <v>98.999545247839933</v>
      </c>
      <c r="AG14" s="9">
        <v>97.899045020463859</v>
      </c>
      <c r="AH14" s="9">
        <v>98.863119599818091</v>
      </c>
      <c r="AI14" s="9">
        <v>99.68167348794907</v>
      </c>
      <c r="AJ14" s="9">
        <v>98.817644383810816</v>
      </c>
      <c r="AK14" s="9">
        <v>99.199636198271946</v>
      </c>
      <c r="AL14" s="9">
        <v>99.363346975898139</v>
      </c>
      <c r="AM14" s="9">
        <v>99.590723055934518</v>
      </c>
      <c r="AN14" s="9">
        <v>95.998180991359703</v>
      </c>
      <c r="AO14" s="9">
        <v>99.317871759890863</v>
      </c>
      <c r="AP14" s="9">
        <v>99.818099135970897</v>
      </c>
      <c r="AQ14" s="9">
        <v>99.863574351978173</v>
      </c>
      <c r="AR14" s="9">
        <v>98.999545247839933</v>
      </c>
      <c r="AS14" s="9">
        <v>95.8162801273306</v>
      </c>
      <c r="AT14" s="9"/>
    </row>
    <row r="15" spans="1:46">
      <c r="A15" s="8" t="s">
        <v>42</v>
      </c>
      <c r="B15" s="9">
        <v>90.3125</v>
      </c>
      <c r="C15" s="9">
        <v>90.3125</v>
      </c>
      <c r="D15" s="9">
        <v>94.40625</v>
      </c>
      <c r="E15" s="9">
        <v>94.0625</v>
      </c>
      <c r="F15" s="9">
        <v>94.875000000000014</v>
      </c>
      <c r="G15" s="9">
        <v>94.0625</v>
      </c>
      <c r="H15" s="9">
        <v>90.906249999999986</v>
      </c>
      <c r="I15" s="9">
        <v>94.375</v>
      </c>
      <c r="J15" s="9">
        <v>94.093750000000014</v>
      </c>
      <c r="K15" s="9">
        <v>94.0625</v>
      </c>
      <c r="L15" s="9">
        <v>82.09375</v>
      </c>
      <c r="M15" s="9">
        <v>82.8125</v>
      </c>
      <c r="N15" s="9">
        <v>80.3125</v>
      </c>
      <c r="O15" s="9">
        <v>89.0625</v>
      </c>
      <c r="P15" s="9">
        <v>82.312499999999986</v>
      </c>
      <c r="Q15" s="9">
        <v>83.125</v>
      </c>
      <c r="R15" s="9">
        <v>85.3125</v>
      </c>
      <c r="S15" s="9">
        <v>83.125</v>
      </c>
      <c r="T15" s="9">
        <v>88.4375</v>
      </c>
      <c r="U15" s="9">
        <v>86.6875</v>
      </c>
      <c r="V15" s="9">
        <v>85.90625</v>
      </c>
      <c r="W15" s="9">
        <v>88.4375</v>
      </c>
      <c r="X15" s="9">
        <v>91.25</v>
      </c>
      <c r="Y15" s="9"/>
      <c r="Z15" s="9">
        <v>94.375</v>
      </c>
      <c r="AA15" s="9">
        <v>88.1875</v>
      </c>
      <c r="AB15" s="9">
        <v>90.625</v>
      </c>
      <c r="AC15" s="9">
        <v>85.3125</v>
      </c>
      <c r="AD15" s="9">
        <v>79.6875</v>
      </c>
      <c r="AE15" s="9">
        <v>85</v>
      </c>
      <c r="AF15" s="9">
        <v>89.6875</v>
      </c>
      <c r="AG15" s="9">
        <v>85.3125</v>
      </c>
      <c r="AH15" s="9">
        <v>88.4375</v>
      </c>
      <c r="AI15" s="9">
        <v>85.8125</v>
      </c>
      <c r="AJ15" s="9">
        <v>89.375</v>
      </c>
      <c r="AK15" s="9">
        <v>88.09375</v>
      </c>
      <c r="AL15" s="9">
        <v>84.375</v>
      </c>
      <c r="AM15" s="9">
        <v>89.0625</v>
      </c>
      <c r="AN15" s="9">
        <v>85.90625</v>
      </c>
      <c r="AO15" s="9">
        <v>90</v>
      </c>
      <c r="AP15" s="9">
        <v>91.875</v>
      </c>
      <c r="AQ15" s="9">
        <v>88.4375</v>
      </c>
      <c r="AR15" s="9">
        <v>93.8125</v>
      </c>
      <c r="AS15" s="9">
        <v>95.3125</v>
      </c>
      <c r="AT15" s="9"/>
    </row>
    <row r="16" spans="1:46">
      <c r="A16" s="8" t="s">
        <v>3</v>
      </c>
      <c r="B16" s="9"/>
      <c r="C16" s="9">
        <v>98.666666666666671</v>
      </c>
      <c r="D16" s="9">
        <v>99.333333333333329</v>
      </c>
      <c r="E16" s="9">
        <v>99.333333333333329</v>
      </c>
      <c r="F16" s="9">
        <v>99.566666666666663</v>
      </c>
      <c r="G16" s="9">
        <v>99.333333333333329</v>
      </c>
      <c r="H16" s="9">
        <v>99</v>
      </c>
      <c r="I16" s="9">
        <v>99.333333333333329</v>
      </c>
      <c r="J16" s="9">
        <v>99.333333333333329</v>
      </c>
      <c r="K16" s="9">
        <v>99.333333333333329</v>
      </c>
      <c r="L16" s="9">
        <v>97.333333333333343</v>
      </c>
      <c r="M16" s="9">
        <v>97.666666666666671</v>
      </c>
      <c r="N16" s="9"/>
      <c r="O16" s="9">
        <v>98.333333333333329</v>
      </c>
      <c r="P16" s="9"/>
      <c r="Q16" s="9">
        <v>99</v>
      </c>
      <c r="R16" s="9"/>
      <c r="S16" s="9">
        <v>96.166666666666671</v>
      </c>
      <c r="T16" s="9">
        <v>98.666666666666671</v>
      </c>
      <c r="U16" s="9"/>
      <c r="V16" s="9"/>
      <c r="W16" s="9">
        <v>98.666666666666671</v>
      </c>
      <c r="X16" s="9">
        <v>99</v>
      </c>
      <c r="Y16" s="9"/>
      <c r="Z16" s="9">
        <v>99.333333333333329</v>
      </c>
      <c r="AA16" s="9"/>
      <c r="AB16" s="9">
        <v>99</v>
      </c>
      <c r="AC16" s="9"/>
      <c r="AD16" s="9">
        <v>92.333333333333329</v>
      </c>
      <c r="AE16" s="9"/>
      <c r="AF16" s="9">
        <v>98.666666666666671</v>
      </c>
      <c r="AG16" s="9">
        <v>98</v>
      </c>
      <c r="AH16" s="9">
        <v>98.666666666666671</v>
      </c>
      <c r="AI16" s="9">
        <v>97.666666666666671</v>
      </c>
      <c r="AJ16" s="9">
        <v>98.666666666666671</v>
      </c>
      <c r="AK16" s="9"/>
      <c r="AL16" s="9">
        <v>93.333333333333329</v>
      </c>
      <c r="AM16" s="9">
        <v>98.666666666666671</v>
      </c>
      <c r="AN16" s="9"/>
      <c r="AO16" s="9">
        <v>99</v>
      </c>
      <c r="AP16" s="9">
        <v>99.666666666666671</v>
      </c>
      <c r="AQ16" s="9">
        <v>99</v>
      </c>
      <c r="AR16" s="9">
        <v>97</v>
      </c>
      <c r="AS16" s="9">
        <v>99.333333333333329</v>
      </c>
      <c r="AT16" s="9"/>
    </row>
    <row r="17" spans="1:46">
      <c r="A17" s="8" t="s">
        <v>4</v>
      </c>
      <c r="B17" s="9"/>
      <c r="C17" s="9">
        <v>20</v>
      </c>
      <c r="D17" s="9">
        <v>20</v>
      </c>
      <c r="E17" s="9">
        <v>6.666666666666667</v>
      </c>
      <c r="F17" s="9">
        <v>28.000000000000004</v>
      </c>
      <c r="G17" s="9">
        <v>20</v>
      </c>
      <c r="H17" s="9">
        <v>13.333333333333334</v>
      </c>
      <c r="I17" s="9">
        <v>26.666666666666668</v>
      </c>
      <c r="J17" s="9">
        <v>6.666666666666667</v>
      </c>
      <c r="K17" s="9">
        <v>6.666666666666667</v>
      </c>
      <c r="L17" s="9">
        <v>46.666666666666664</v>
      </c>
      <c r="M17" s="9">
        <v>53.333333333333336</v>
      </c>
      <c r="N17" s="9"/>
      <c r="O17" s="9">
        <v>73.333333333333329</v>
      </c>
      <c r="P17" s="9"/>
      <c r="Q17" s="9">
        <v>60</v>
      </c>
      <c r="R17" s="9"/>
      <c r="S17" s="9">
        <v>33.333333333333329</v>
      </c>
      <c r="T17" s="9">
        <v>66.666666666666657</v>
      </c>
      <c r="U17" s="9"/>
      <c r="V17" s="9"/>
      <c r="W17" s="9">
        <v>73.333333333333329</v>
      </c>
      <c r="X17" s="9">
        <v>40</v>
      </c>
      <c r="Y17" s="9"/>
      <c r="Z17" s="9">
        <v>66.666666666666657</v>
      </c>
      <c r="AA17" s="9"/>
      <c r="AB17" s="9">
        <v>66.666666666666657</v>
      </c>
      <c r="AC17" s="9"/>
      <c r="AD17" s="9">
        <v>73.333333333333329</v>
      </c>
      <c r="AE17" s="9"/>
      <c r="AF17" s="9">
        <v>80</v>
      </c>
      <c r="AG17" s="9">
        <v>46.666666666666664</v>
      </c>
      <c r="AH17" s="9">
        <v>73.333333333333329</v>
      </c>
      <c r="AI17" s="9">
        <v>53.333333333333336</v>
      </c>
      <c r="AJ17" s="9">
        <v>80</v>
      </c>
      <c r="AK17" s="9"/>
      <c r="AL17" s="9">
        <v>33.333333333333329</v>
      </c>
      <c r="AM17" s="9">
        <v>66.666666666666657</v>
      </c>
      <c r="AN17" s="9"/>
      <c r="AO17" s="9">
        <v>66.666666666666657</v>
      </c>
      <c r="AP17" s="9">
        <v>33.333333333333329</v>
      </c>
      <c r="AQ17" s="9">
        <v>46.666666666666664</v>
      </c>
      <c r="AR17" s="9">
        <v>67.333333333333329</v>
      </c>
      <c r="AS17" s="9">
        <v>66.666666666666657</v>
      </c>
      <c r="AT17" s="9"/>
    </row>
    <row r="18" spans="1:46">
      <c r="A18" s="8" t="s">
        <v>5</v>
      </c>
      <c r="B18" s="9"/>
      <c r="C18" s="9">
        <v>97.5</v>
      </c>
      <c r="D18" s="9">
        <v>100</v>
      </c>
      <c r="E18" s="9">
        <v>100</v>
      </c>
      <c r="F18" s="9">
        <v>99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85</v>
      </c>
      <c r="M18" s="9">
        <v>87.5</v>
      </c>
      <c r="N18" s="9"/>
      <c r="O18" s="9">
        <v>100</v>
      </c>
      <c r="P18" s="9"/>
      <c r="Q18" s="9">
        <v>100</v>
      </c>
      <c r="R18" s="9"/>
      <c r="S18" s="9">
        <v>100</v>
      </c>
      <c r="T18" s="9">
        <v>100</v>
      </c>
      <c r="U18" s="9"/>
      <c r="V18" s="9"/>
      <c r="W18" s="9">
        <v>100</v>
      </c>
      <c r="X18" s="9">
        <v>100</v>
      </c>
      <c r="Y18" s="9"/>
      <c r="Z18" s="9">
        <v>100</v>
      </c>
      <c r="AA18" s="9"/>
      <c r="AB18" s="9">
        <v>100</v>
      </c>
      <c r="AC18" s="9"/>
      <c r="AD18" s="9">
        <v>95</v>
      </c>
      <c r="AE18" s="9"/>
      <c r="AF18" s="9">
        <v>100</v>
      </c>
      <c r="AG18" s="9">
        <v>90</v>
      </c>
      <c r="AH18" s="9">
        <v>100</v>
      </c>
      <c r="AI18" s="9">
        <v>92.5</v>
      </c>
      <c r="AJ18" s="9">
        <v>85</v>
      </c>
      <c r="AK18" s="9"/>
      <c r="AL18" s="9">
        <v>92.5</v>
      </c>
      <c r="AM18" s="9">
        <v>100</v>
      </c>
      <c r="AN18" s="9"/>
      <c r="AO18" s="9">
        <v>97.5</v>
      </c>
      <c r="AP18" s="9">
        <v>100</v>
      </c>
      <c r="AQ18" s="9">
        <v>100</v>
      </c>
      <c r="AR18" s="9">
        <v>100</v>
      </c>
      <c r="AS18" s="9">
        <v>100</v>
      </c>
      <c r="AT18" s="9"/>
    </row>
    <row r="19" spans="1:46">
      <c r="A19" s="8" t="s">
        <v>43</v>
      </c>
      <c r="B19" s="9"/>
      <c r="C19" s="9">
        <v>98.816155988857929</v>
      </c>
      <c r="D19" s="9">
        <v>98.753481894150411</v>
      </c>
      <c r="E19" s="9">
        <v>99.30362116991644</v>
      </c>
      <c r="F19" s="9"/>
      <c r="G19" s="9">
        <v>99.30362116991644</v>
      </c>
      <c r="H19" s="9">
        <v>98.600278551532043</v>
      </c>
      <c r="I19" s="9">
        <v>99.164345403899716</v>
      </c>
      <c r="J19" s="9">
        <v>99.199164345403901</v>
      </c>
      <c r="K19" s="9">
        <v>99.373259052924794</v>
      </c>
      <c r="L19" s="9">
        <v>97.346796657381617</v>
      </c>
      <c r="M19" s="9">
        <v>98.119777158774369</v>
      </c>
      <c r="N19" s="9"/>
      <c r="O19" s="9">
        <v>98.955431754874652</v>
      </c>
      <c r="P19" s="9"/>
      <c r="Q19" s="9">
        <v>97.98050139275766</v>
      </c>
      <c r="R19" s="9"/>
      <c r="S19" s="9">
        <v>97.98050139275766</v>
      </c>
      <c r="T19" s="9">
        <v>98.746518105849574</v>
      </c>
      <c r="U19" s="9"/>
      <c r="V19" s="9"/>
      <c r="W19" s="9">
        <v>99.30362116991644</v>
      </c>
      <c r="X19" s="9"/>
      <c r="Y19" s="9">
        <v>98.746518105849574</v>
      </c>
      <c r="Z19" s="9">
        <v>99.164345403899716</v>
      </c>
      <c r="AA19" s="9"/>
      <c r="AB19" s="9">
        <v>99.373259052924794</v>
      </c>
      <c r="AC19" s="9"/>
      <c r="AD19" s="9">
        <v>97.284122562674085</v>
      </c>
      <c r="AE19" s="9"/>
      <c r="AF19" s="9">
        <v>98.467966573816156</v>
      </c>
      <c r="AG19" s="9">
        <v>98.328690807799447</v>
      </c>
      <c r="AH19" s="9">
        <v>98.955431754874652</v>
      </c>
      <c r="AI19" s="9">
        <v>97.346796657381617</v>
      </c>
      <c r="AJ19" s="9">
        <v>98.398328690807801</v>
      </c>
      <c r="AK19" s="9"/>
      <c r="AL19" s="9">
        <v>98.259052924791092</v>
      </c>
      <c r="AM19" s="9">
        <v>99.373259052924794</v>
      </c>
      <c r="AN19" s="9"/>
      <c r="AO19" s="9">
        <v>98.885793871866284</v>
      </c>
      <c r="AP19" s="9">
        <v>99.791086350974936</v>
      </c>
      <c r="AQ19" s="9">
        <v>99.791086350974936</v>
      </c>
      <c r="AR19" s="9">
        <v>98.99721448467966</v>
      </c>
      <c r="AS19" s="9">
        <v>99.512534818941504</v>
      </c>
      <c r="AT19" s="9"/>
    </row>
    <row r="20" spans="1:46">
      <c r="A20" s="8" t="s">
        <v>6</v>
      </c>
      <c r="B20" s="9"/>
      <c r="C20" s="9">
        <v>100</v>
      </c>
      <c r="D20" s="9">
        <v>98.611111111111114</v>
      </c>
      <c r="E20" s="9">
        <v>100</v>
      </c>
      <c r="F20" s="9">
        <v>100</v>
      </c>
      <c r="G20" s="9">
        <v>100</v>
      </c>
      <c r="H20" s="9">
        <v>98.611111111111114</v>
      </c>
      <c r="I20" s="9">
        <v>100</v>
      </c>
      <c r="J20" s="9">
        <v>98.611111111111114</v>
      </c>
      <c r="K20" s="9">
        <v>98.611111111111114</v>
      </c>
      <c r="L20" s="9">
        <v>91.666666666666657</v>
      </c>
      <c r="M20" s="9">
        <v>91.666666666666657</v>
      </c>
      <c r="N20" s="9"/>
      <c r="O20" s="9">
        <v>93.055555555555557</v>
      </c>
      <c r="P20" s="9"/>
      <c r="Q20" s="9">
        <v>97.222222222222214</v>
      </c>
      <c r="R20" s="9"/>
      <c r="S20" s="9">
        <v>87.5</v>
      </c>
      <c r="T20" s="9">
        <v>97.222222222222214</v>
      </c>
      <c r="U20" s="9"/>
      <c r="V20" s="9"/>
      <c r="W20" s="9">
        <v>97.222222222222214</v>
      </c>
      <c r="X20" s="9">
        <v>98.611111111111114</v>
      </c>
      <c r="Y20" s="9"/>
      <c r="Z20" s="9">
        <v>91.666666666666657</v>
      </c>
      <c r="AA20" s="9"/>
      <c r="AB20" s="9">
        <v>98.611111111111114</v>
      </c>
      <c r="AC20" s="9"/>
      <c r="AD20" s="9">
        <v>90.277777777777786</v>
      </c>
      <c r="AE20" s="9"/>
      <c r="AF20" s="9">
        <v>98.611111111111114</v>
      </c>
      <c r="AG20" s="9">
        <v>84.722222222222214</v>
      </c>
      <c r="AH20" s="9">
        <v>97.222222222222214</v>
      </c>
      <c r="AI20" s="9">
        <v>84.722222222222214</v>
      </c>
      <c r="AJ20" s="9">
        <v>97.222222222222214</v>
      </c>
      <c r="AK20" s="9"/>
      <c r="AL20" s="9">
        <v>8.3333333333333321</v>
      </c>
      <c r="AM20" s="9">
        <v>97.222222222222214</v>
      </c>
      <c r="AN20" s="9"/>
      <c r="AO20" s="9">
        <v>97.222222222222214</v>
      </c>
      <c r="AP20" s="9">
        <v>100</v>
      </c>
      <c r="AQ20" s="9">
        <v>100</v>
      </c>
      <c r="AR20" s="9">
        <v>98.611111111111114</v>
      </c>
      <c r="AS20" s="9">
        <v>100</v>
      </c>
      <c r="AT20" s="9"/>
    </row>
    <row r="21" spans="1:46">
      <c r="A21" s="8" t="s">
        <v>7</v>
      </c>
      <c r="B21" s="9"/>
      <c r="C21" s="9">
        <v>57.999999999999993</v>
      </c>
      <c r="D21" s="9">
        <v>52</v>
      </c>
      <c r="E21" s="9">
        <v>52</v>
      </c>
      <c r="F21" s="9">
        <v>49.8</v>
      </c>
      <c r="G21" s="9">
        <v>70</v>
      </c>
      <c r="H21" s="9">
        <v>68</v>
      </c>
      <c r="I21" s="9">
        <v>68</v>
      </c>
      <c r="J21" s="9">
        <v>64</v>
      </c>
      <c r="K21" s="9">
        <v>60</v>
      </c>
      <c r="L21" s="9">
        <v>62</v>
      </c>
      <c r="M21" s="9">
        <v>66</v>
      </c>
      <c r="N21" s="9"/>
      <c r="O21" s="9">
        <v>56.000000000000007</v>
      </c>
      <c r="P21" s="9"/>
      <c r="Q21" s="9">
        <v>68</v>
      </c>
      <c r="R21" s="9"/>
      <c r="S21" s="9">
        <v>56.000000000000007</v>
      </c>
      <c r="T21" s="9">
        <v>68</v>
      </c>
      <c r="U21" s="9"/>
      <c r="V21" s="9"/>
      <c r="W21" s="9">
        <v>66</v>
      </c>
      <c r="X21" s="9"/>
      <c r="Y21" s="9">
        <v>24</v>
      </c>
      <c r="Z21" s="9">
        <v>74</v>
      </c>
      <c r="AA21" s="9"/>
      <c r="AB21" s="9">
        <v>74</v>
      </c>
      <c r="AC21" s="9"/>
      <c r="AD21" s="9">
        <v>42</v>
      </c>
      <c r="AE21" s="9"/>
      <c r="AF21" s="9">
        <v>42</v>
      </c>
      <c r="AG21" s="9">
        <v>44</v>
      </c>
      <c r="AH21" s="9">
        <v>72</v>
      </c>
      <c r="AI21" s="9">
        <v>24</v>
      </c>
      <c r="AJ21" s="9">
        <v>40</v>
      </c>
      <c r="AK21" s="9"/>
      <c r="AL21" s="9">
        <v>50</v>
      </c>
      <c r="AM21" s="9">
        <v>66</v>
      </c>
      <c r="AN21" s="9"/>
      <c r="AO21" s="9">
        <v>60</v>
      </c>
      <c r="AP21" s="9">
        <v>68</v>
      </c>
      <c r="AQ21" s="9">
        <v>76</v>
      </c>
      <c r="AR21" s="9">
        <v>62</v>
      </c>
      <c r="AS21" s="9">
        <v>50</v>
      </c>
      <c r="AT21" s="9"/>
    </row>
    <row r="22" spans="1:46">
      <c r="A22" s="8" t="s">
        <v>8</v>
      </c>
      <c r="B22" s="9"/>
      <c r="C22" s="9">
        <v>61.832061068702295</v>
      </c>
      <c r="D22" s="9">
        <v>78.625954198473281</v>
      </c>
      <c r="E22" s="9">
        <v>91.603053435114504</v>
      </c>
      <c r="F22" s="9">
        <v>89.465648854961827</v>
      </c>
      <c r="G22" s="9">
        <v>97.70992366412213</v>
      </c>
      <c r="H22" s="9">
        <v>98.473282442748086</v>
      </c>
      <c r="I22" s="9">
        <v>98.473282442748086</v>
      </c>
      <c r="J22" s="9">
        <v>96.18320610687023</v>
      </c>
      <c r="K22" s="9">
        <v>98.473282442748086</v>
      </c>
      <c r="L22" s="9">
        <v>41.221374045801525</v>
      </c>
      <c r="M22" s="9">
        <v>42.748091603053432</v>
      </c>
      <c r="N22" s="9"/>
      <c r="O22" s="9">
        <v>54.198473282442748</v>
      </c>
      <c r="P22" s="9"/>
      <c r="Q22" s="9">
        <v>66.412213740458014</v>
      </c>
      <c r="R22" s="9"/>
      <c r="S22" s="9">
        <v>58.778625954198475</v>
      </c>
      <c r="T22" s="9">
        <v>63.358778625954194</v>
      </c>
      <c r="U22" s="9"/>
      <c r="V22" s="9"/>
      <c r="W22" s="9">
        <v>64.122137404580144</v>
      </c>
      <c r="X22" s="9"/>
      <c r="Y22" s="9">
        <v>41.221374045801525</v>
      </c>
      <c r="Z22" s="9">
        <v>81.679389312977108</v>
      </c>
      <c r="AA22" s="9"/>
      <c r="AB22" s="9">
        <v>61.068702290076338</v>
      </c>
      <c r="AC22" s="9"/>
      <c r="AD22" s="9">
        <v>63.358778625954194</v>
      </c>
      <c r="AE22" s="9"/>
      <c r="AF22" s="9">
        <v>70.992366412213741</v>
      </c>
      <c r="AG22" s="9">
        <v>54.961832061068705</v>
      </c>
      <c r="AH22" s="9">
        <v>58.015267175572518</v>
      </c>
      <c r="AI22" s="9">
        <v>54.198473282442748</v>
      </c>
      <c r="AJ22" s="9">
        <v>57.251908396946561</v>
      </c>
      <c r="AK22" s="9"/>
      <c r="AL22" s="9">
        <v>48.091603053435115</v>
      </c>
      <c r="AM22" s="9">
        <v>66.412213740458014</v>
      </c>
      <c r="AN22" s="9"/>
      <c r="AO22" s="9">
        <v>59.541984732824424</v>
      </c>
      <c r="AP22" s="9">
        <v>83.969465648854964</v>
      </c>
      <c r="AQ22" s="9">
        <v>82.44274809160305</v>
      </c>
      <c r="AR22" s="9">
        <v>87.022900763358777</v>
      </c>
      <c r="AS22" s="9">
        <v>88.549618320610691</v>
      </c>
      <c r="AT22" s="9"/>
    </row>
    <row r="23" spans="1:46">
      <c r="A23" s="8" t="s">
        <v>9</v>
      </c>
      <c r="B23" s="9"/>
      <c r="C23" s="9">
        <v>96.376811594202891</v>
      </c>
      <c r="D23" s="9">
        <v>98.550724637681171</v>
      </c>
      <c r="E23" s="9">
        <v>99.275362318840578</v>
      </c>
      <c r="F23" s="9">
        <v>99.782608695652158</v>
      </c>
      <c r="G23" s="9">
        <v>100</v>
      </c>
      <c r="H23" s="9">
        <v>100</v>
      </c>
      <c r="I23" s="9">
        <v>100</v>
      </c>
      <c r="J23" s="9">
        <v>100</v>
      </c>
      <c r="K23" s="9">
        <v>100</v>
      </c>
      <c r="L23" s="9">
        <v>60.144927536231883</v>
      </c>
      <c r="M23" s="9">
        <v>65.217391304347828</v>
      </c>
      <c r="N23" s="9"/>
      <c r="O23" s="9">
        <v>97.101449275362313</v>
      </c>
      <c r="P23" s="9"/>
      <c r="Q23" s="9">
        <v>66.666666666666657</v>
      </c>
      <c r="R23" s="9"/>
      <c r="S23" s="9">
        <v>78.115942028985501</v>
      </c>
      <c r="T23" s="9">
        <v>96.376811594202891</v>
      </c>
      <c r="U23" s="9"/>
      <c r="V23" s="9"/>
      <c r="W23" s="9">
        <v>96.376811594202891</v>
      </c>
      <c r="X23" s="9">
        <v>98.550724637681171</v>
      </c>
      <c r="Y23" s="9"/>
      <c r="Z23" s="9">
        <v>100</v>
      </c>
      <c r="AA23" s="9"/>
      <c r="AB23" s="9">
        <v>94.927536231884062</v>
      </c>
      <c r="AC23" s="9"/>
      <c r="AD23" s="9">
        <v>92.753623188405797</v>
      </c>
      <c r="AE23" s="9"/>
      <c r="AF23" s="9">
        <v>92.753623188405797</v>
      </c>
      <c r="AG23" s="9">
        <v>73.188405797101453</v>
      </c>
      <c r="AH23" s="9">
        <v>95.652173913043484</v>
      </c>
      <c r="AI23" s="9">
        <v>65.94202898550725</v>
      </c>
      <c r="AJ23" s="9">
        <v>98.550724637681171</v>
      </c>
      <c r="AK23" s="9"/>
      <c r="AL23" s="9">
        <v>85.507246376811594</v>
      </c>
      <c r="AM23" s="9">
        <v>89.85507246376811</v>
      </c>
      <c r="AN23" s="9"/>
      <c r="AO23" s="9">
        <v>80.434782608695656</v>
      </c>
      <c r="AP23" s="9">
        <v>99.275362318840578</v>
      </c>
      <c r="AQ23" s="9">
        <v>97.826086956521735</v>
      </c>
      <c r="AR23" s="9">
        <v>97.101449275362313</v>
      </c>
      <c r="AS23" s="9">
        <v>99.275362318840578</v>
      </c>
      <c r="AT23" s="9"/>
    </row>
    <row r="24" spans="1:46">
      <c r="A24" s="8" t="s">
        <v>44</v>
      </c>
      <c r="B24" s="9"/>
      <c r="C24" s="9">
        <v>91.481481481481481</v>
      </c>
      <c r="D24" s="9">
        <v>94.074074074074076</v>
      </c>
      <c r="E24" s="9">
        <v>98.888888888888886</v>
      </c>
      <c r="F24" s="9">
        <v>98.518518518518519</v>
      </c>
      <c r="G24" s="9">
        <v>98.888888888888886</v>
      </c>
      <c r="H24" s="9">
        <v>98.518518518518519</v>
      </c>
      <c r="I24" s="9">
        <v>98.888888888888886</v>
      </c>
      <c r="J24" s="9">
        <v>98.888888888888886</v>
      </c>
      <c r="K24" s="9">
        <v>99.259259259259252</v>
      </c>
      <c r="L24" s="9">
        <v>91.481481481481481</v>
      </c>
      <c r="M24" s="9">
        <v>91.851851851851848</v>
      </c>
      <c r="N24" s="9"/>
      <c r="O24" s="9">
        <v>94.444444444444443</v>
      </c>
      <c r="P24" s="9"/>
      <c r="Q24" s="9">
        <v>77.777777777777786</v>
      </c>
      <c r="R24" s="9"/>
      <c r="S24" s="9">
        <v>94.074074074074076</v>
      </c>
      <c r="T24" s="9">
        <v>95.555555555555557</v>
      </c>
      <c r="U24" s="9"/>
      <c r="V24" s="9"/>
      <c r="W24" s="9">
        <v>97.407407407407405</v>
      </c>
      <c r="X24" s="9"/>
      <c r="Y24" s="9">
        <v>91.481481481481481</v>
      </c>
      <c r="Z24" s="9">
        <v>85.925925925925924</v>
      </c>
      <c r="AA24" s="9"/>
      <c r="AB24" s="9">
        <v>96.296296296296291</v>
      </c>
      <c r="AC24" s="9"/>
      <c r="AD24" s="9">
        <v>95.925925925925924</v>
      </c>
      <c r="AE24" s="9"/>
      <c r="AF24" s="9">
        <v>96.296296296296291</v>
      </c>
      <c r="AG24" s="9">
        <v>94.074074074074076</v>
      </c>
      <c r="AH24" s="9">
        <v>97.407407407407405</v>
      </c>
      <c r="AI24" s="9">
        <v>92.592592592592595</v>
      </c>
      <c r="AJ24" s="9">
        <v>96.666666666666671</v>
      </c>
      <c r="AK24" s="9"/>
      <c r="AL24" s="9">
        <v>95.925925925925924</v>
      </c>
      <c r="AM24" s="9">
        <v>96.296296296296291</v>
      </c>
      <c r="AN24" s="9"/>
      <c r="AO24" s="9">
        <v>94.814814814814824</v>
      </c>
      <c r="AP24" s="9">
        <v>95.18518518518519</v>
      </c>
      <c r="AQ24" s="9">
        <v>87.777777777777771</v>
      </c>
      <c r="AR24" s="9">
        <v>91.518518518518519</v>
      </c>
      <c r="AS24" s="9">
        <v>97.037037037037038</v>
      </c>
      <c r="AT24" s="9"/>
    </row>
    <row r="25" spans="1:46">
      <c r="A25" s="8" t="s">
        <v>10</v>
      </c>
      <c r="B25" s="9"/>
      <c r="C25" s="9">
        <v>53</v>
      </c>
      <c r="D25" s="9">
        <v>61</v>
      </c>
      <c r="E25" s="9">
        <v>56.999999999999993</v>
      </c>
      <c r="F25" s="9">
        <v>55.2</v>
      </c>
      <c r="G25" s="9">
        <v>61</v>
      </c>
      <c r="H25" s="9">
        <v>55.000000000000007</v>
      </c>
      <c r="I25" s="9">
        <v>55.000000000000007</v>
      </c>
      <c r="J25" s="9">
        <v>56.000000000000007</v>
      </c>
      <c r="K25" s="9">
        <v>60</v>
      </c>
      <c r="L25" s="9">
        <v>64</v>
      </c>
      <c r="M25" s="9">
        <v>62</v>
      </c>
      <c r="N25" s="9"/>
      <c r="O25" s="9">
        <v>64</v>
      </c>
      <c r="P25" s="9"/>
      <c r="Q25" s="9">
        <v>63</v>
      </c>
      <c r="R25" s="9"/>
      <c r="S25" s="9">
        <v>59.4</v>
      </c>
      <c r="T25" s="9">
        <v>66</v>
      </c>
      <c r="U25" s="9"/>
      <c r="V25" s="9"/>
      <c r="W25" s="9">
        <v>67</v>
      </c>
      <c r="X25" s="9">
        <v>61</v>
      </c>
      <c r="Y25" s="9"/>
      <c r="Z25" s="9">
        <v>68</v>
      </c>
      <c r="AA25" s="9"/>
      <c r="AB25" s="9">
        <v>67</v>
      </c>
      <c r="AC25" s="9"/>
      <c r="AD25" s="9">
        <v>72</v>
      </c>
      <c r="AE25" s="9"/>
      <c r="AF25" s="9">
        <v>66</v>
      </c>
      <c r="AG25" s="9">
        <v>64</v>
      </c>
      <c r="AH25" s="9">
        <v>64</v>
      </c>
      <c r="AI25" s="9">
        <v>62</v>
      </c>
      <c r="AJ25" s="9">
        <v>63</v>
      </c>
      <c r="AK25" s="9"/>
      <c r="AL25" s="9">
        <v>56.999999999999993</v>
      </c>
      <c r="AM25" s="9">
        <v>66</v>
      </c>
      <c r="AN25" s="9"/>
      <c r="AO25" s="9">
        <v>64</v>
      </c>
      <c r="AP25" s="9">
        <v>64</v>
      </c>
      <c r="AQ25" s="9">
        <v>67</v>
      </c>
      <c r="AR25" s="9">
        <v>69</v>
      </c>
      <c r="AS25" s="9">
        <v>66</v>
      </c>
      <c r="AT25" s="9"/>
    </row>
    <row r="26" spans="1:46">
      <c r="A26" s="8" t="s">
        <v>11</v>
      </c>
      <c r="B26" s="9"/>
      <c r="C26" s="9">
        <v>18.918918918918919</v>
      </c>
      <c r="D26" s="9">
        <v>50</v>
      </c>
      <c r="E26" s="9">
        <v>51.351351351351347</v>
      </c>
      <c r="F26" s="9">
        <v>39.729729729729726</v>
      </c>
      <c r="G26" s="9">
        <v>48.648648648648653</v>
      </c>
      <c r="H26" s="9">
        <v>21.621621621621621</v>
      </c>
      <c r="I26" s="9">
        <v>51.351351351351347</v>
      </c>
      <c r="J26" s="9">
        <v>36.486486486486484</v>
      </c>
      <c r="K26" s="9">
        <v>36.486486486486484</v>
      </c>
      <c r="L26" s="9">
        <v>58.108108108108105</v>
      </c>
      <c r="M26" s="9">
        <v>66.21621621621621</v>
      </c>
      <c r="N26" s="9"/>
      <c r="O26" s="9">
        <v>66.21621621621621</v>
      </c>
      <c r="P26" s="9"/>
      <c r="Q26" s="9">
        <v>70.270270270270274</v>
      </c>
      <c r="R26" s="9"/>
      <c r="S26" s="9">
        <v>50</v>
      </c>
      <c r="T26" s="9">
        <v>72.972972972972968</v>
      </c>
      <c r="U26" s="9"/>
      <c r="V26" s="9"/>
      <c r="W26" s="9">
        <v>66.21621621621621</v>
      </c>
      <c r="X26" s="9">
        <v>52.702702702702695</v>
      </c>
      <c r="Y26" s="9"/>
      <c r="Z26" s="9">
        <v>48.648648648648653</v>
      </c>
      <c r="AA26" s="9"/>
      <c r="AB26" s="9">
        <v>72.972972972972968</v>
      </c>
      <c r="AC26" s="9"/>
      <c r="AD26" s="9">
        <v>71.621621621621628</v>
      </c>
      <c r="AE26" s="9"/>
      <c r="AF26" s="9">
        <v>63.513513513513509</v>
      </c>
      <c r="AG26" s="9">
        <v>58.108108108108105</v>
      </c>
      <c r="AH26" s="9">
        <v>66.21621621621621</v>
      </c>
      <c r="AI26" s="9">
        <v>58.108108108108105</v>
      </c>
      <c r="AJ26" s="9">
        <v>63.513513513513509</v>
      </c>
      <c r="AK26" s="9"/>
      <c r="AL26" s="9">
        <v>18.918918918918919</v>
      </c>
      <c r="AM26" s="9">
        <v>70.270270270270274</v>
      </c>
      <c r="AN26" s="9"/>
      <c r="AO26" s="9">
        <v>58.108108108108105</v>
      </c>
      <c r="AP26" s="9">
        <v>48.648648648648653</v>
      </c>
      <c r="AQ26" s="9">
        <v>45.945945945945951</v>
      </c>
      <c r="AR26" s="9">
        <v>71.621621621621628</v>
      </c>
      <c r="AS26" s="9">
        <v>60.810810810810814</v>
      </c>
      <c r="AT26" s="9"/>
    </row>
    <row r="27" spans="1:46">
      <c r="A27" s="8" t="s">
        <v>45</v>
      </c>
      <c r="B27" s="9"/>
      <c r="C27" s="9">
        <v>48.692</v>
      </c>
      <c r="D27" s="9">
        <v>10</v>
      </c>
      <c r="E27" s="9">
        <v>38.524000000000001</v>
      </c>
      <c r="F27" s="9"/>
      <c r="G27" s="9">
        <v>66.796000000000006</v>
      </c>
      <c r="H27" s="9">
        <v>67.900000000000006</v>
      </c>
      <c r="I27" s="9">
        <v>67.052000000000007</v>
      </c>
      <c r="J27" s="9">
        <v>66.7</v>
      </c>
      <c r="K27" s="9">
        <v>65.744</v>
      </c>
      <c r="L27" s="9">
        <v>10</v>
      </c>
      <c r="M27" s="9">
        <v>18.995999999999999</v>
      </c>
      <c r="N27" s="9"/>
      <c r="O27" s="9">
        <v>71.676000000000002</v>
      </c>
      <c r="P27" s="9"/>
      <c r="Q27" s="9">
        <v>72.424000000000007</v>
      </c>
      <c r="R27" s="9"/>
      <c r="S27" s="9">
        <v>10</v>
      </c>
      <c r="T27" s="9">
        <v>64.024000000000001</v>
      </c>
      <c r="U27" s="9"/>
      <c r="V27" s="9"/>
      <c r="W27" s="9">
        <v>75.587999999999994</v>
      </c>
      <c r="X27" s="9">
        <v>10</v>
      </c>
      <c r="Y27" s="9"/>
      <c r="Z27" s="9">
        <v>10.012</v>
      </c>
      <c r="AA27" s="9"/>
      <c r="AB27" s="9">
        <v>64.192000000000007</v>
      </c>
      <c r="AC27" s="9"/>
      <c r="AD27" s="9">
        <v>65.244</v>
      </c>
      <c r="AE27" s="9"/>
      <c r="AF27" s="9">
        <v>64.868000000000009</v>
      </c>
      <c r="AG27" s="9">
        <v>10</v>
      </c>
      <c r="AH27" s="9">
        <v>73.712000000000003</v>
      </c>
      <c r="AI27" s="9">
        <v>10</v>
      </c>
      <c r="AJ27" s="9">
        <v>60.936</v>
      </c>
      <c r="AK27" s="9"/>
      <c r="AL27" s="9">
        <v>10</v>
      </c>
      <c r="AM27" s="9">
        <v>61.395999999999994</v>
      </c>
      <c r="AN27" s="9"/>
      <c r="AO27" s="9">
        <v>73.436000000000007</v>
      </c>
      <c r="AP27" s="9">
        <v>66.751999999999995</v>
      </c>
      <c r="AQ27" s="9">
        <v>67.179999999999993</v>
      </c>
      <c r="AR27" s="9">
        <v>14.3</v>
      </c>
      <c r="AS27" s="44">
        <v>68.244</v>
      </c>
      <c r="AT27" s="9"/>
    </row>
    <row r="28" spans="1:46">
      <c r="A28" s="8" t="s">
        <v>12</v>
      </c>
      <c r="B28" s="9"/>
      <c r="C28" s="9">
        <v>87.222222222222229</v>
      </c>
      <c r="D28" s="9">
        <v>83.888888888888886</v>
      </c>
      <c r="E28" s="9">
        <v>90.555555555555557</v>
      </c>
      <c r="F28" s="9">
        <v>92.666666666666671</v>
      </c>
      <c r="G28" s="9">
        <v>94.444444444444443</v>
      </c>
      <c r="H28" s="9">
        <v>93.277777777777786</v>
      </c>
      <c r="I28" s="9">
        <v>93.333333333333329</v>
      </c>
      <c r="J28" s="9">
        <v>92.777777777777786</v>
      </c>
      <c r="K28" s="9">
        <v>93.333333333333329</v>
      </c>
      <c r="L28" s="9">
        <v>73.333333333333329</v>
      </c>
      <c r="M28" s="9">
        <v>70.555555555555557</v>
      </c>
      <c r="N28" s="9"/>
      <c r="O28" s="9">
        <v>89.444444444444443</v>
      </c>
      <c r="P28" s="9"/>
      <c r="Q28" s="9">
        <v>34.444444444444443</v>
      </c>
      <c r="R28" s="9"/>
      <c r="S28" s="9">
        <v>77.833333333333329</v>
      </c>
      <c r="T28" s="9">
        <v>88.333333333333329</v>
      </c>
      <c r="U28" s="9"/>
      <c r="V28" s="9"/>
      <c r="W28" s="9">
        <v>90</v>
      </c>
      <c r="X28" s="9">
        <v>92.777777777777786</v>
      </c>
      <c r="Y28" s="9"/>
      <c r="Z28" s="9">
        <v>95.555555555555557</v>
      </c>
      <c r="AA28" s="9"/>
      <c r="AB28" s="9">
        <v>88.333333333333329</v>
      </c>
      <c r="AC28" s="9"/>
      <c r="AD28" s="9">
        <v>93.333333333333329</v>
      </c>
      <c r="AE28" s="9"/>
      <c r="AF28" s="9">
        <v>90</v>
      </c>
      <c r="AG28" s="9">
        <v>76.111111111111114</v>
      </c>
      <c r="AH28" s="9">
        <v>90.555555555555557</v>
      </c>
      <c r="AI28" s="9">
        <v>81.111111111111114</v>
      </c>
      <c r="AJ28" s="9">
        <v>81.666666666666671</v>
      </c>
      <c r="AK28" s="9"/>
      <c r="AL28" s="9">
        <v>79.444444444444443</v>
      </c>
      <c r="AM28" s="9">
        <v>87.777777777777771</v>
      </c>
      <c r="AN28" s="9"/>
      <c r="AO28" s="9">
        <v>91.666666666666657</v>
      </c>
      <c r="AP28" s="9">
        <v>97.222222222222214</v>
      </c>
      <c r="AQ28" s="9">
        <v>97.222222222222214</v>
      </c>
      <c r="AR28" s="9">
        <v>90</v>
      </c>
      <c r="AS28" s="9">
        <v>91.666666666666657</v>
      </c>
      <c r="AT28" s="9"/>
    </row>
    <row r="29" spans="1:46">
      <c r="A29" s="8" t="s">
        <v>13</v>
      </c>
      <c r="B29" s="9"/>
      <c r="C29" s="9">
        <v>55.109489051094897</v>
      </c>
      <c r="D29" s="9">
        <v>54.099756690997559</v>
      </c>
      <c r="E29" s="9">
        <v>64.030819140308196</v>
      </c>
      <c r="F29" s="9">
        <v>63.694241686942419</v>
      </c>
      <c r="G29" s="9">
        <v>66.38280616382805</v>
      </c>
      <c r="H29" s="9">
        <v>60.701540957015411</v>
      </c>
      <c r="I29" s="9">
        <v>66.504460665044604</v>
      </c>
      <c r="J29" s="9">
        <v>63.600973236009736</v>
      </c>
      <c r="K29" s="9">
        <v>64.274128142741276</v>
      </c>
      <c r="L29" s="9">
        <v>35.77047850770478</v>
      </c>
      <c r="M29" s="9">
        <v>34.022708840227089</v>
      </c>
      <c r="N29" s="9"/>
      <c r="O29" s="9">
        <v>41.524736415247368</v>
      </c>
      <c r="P29" s="9"/>
      <c r="Q29" s="9">
        <v>34.18491484184915</v>
      </c>
      <c r="R29" s="9"/>
      <c r="S29" s="9">
        <v>59.209245742092456</v>
      </c>
      <c r="T29" s="9">
        <v>44.120032441200323</v>
      </c>
      <c r="U29" s="9"/>
      <c r="V29" s="9"/>
      <c r="W29" s="9">
        <v>43.592862935928629</v>
      </c>
      <c r="X29" s="9">
        <v>66.338199513381994</v>
      </c>
      <c r="Y29" s="9"/>
      <c r="Z29" s="9">
        <v>51.013787510137874</v>
      </c>
      <c r="AA29" s="9"/>
      <c r="AB29" s="9">
        <v>44.444444444444443</v>
      </c>
      <c r="AC29" s="9"/>
      <c r="AD29" s="9">
        <v>40.997566909975667</v>
      </c>
      <c r="AE29" s="9"/>
      <c r="AF29" s="9">
        <v>41.240875912408761</v>
      </c>
      <c r="AG29" s="9">
        <v>42.818329278183299</v>
      </c>
      <c r="AH29" s="9">
        <v>41.768045417680455</v>
      </c>
      <c r="AI29" s="9">
        <v>67.798053527980542</v>
      </c>
      <c r="AJ29" s="9">
        <v>56.731549067315491</v>
      </c>
      <c r="AK29" s="9"/>
      <c r="AL29" s="9">
        <v>46.390916463909164</v>
      </c>
      <c r="AM29" s="9">
        <v>38.077858880778585</v>
      </c>
      <c r="AN29" s="9"/>
      <c r="AO29" s="9">
        <v>40.673154906731554</v>
      </c>
      <c r="AP29" s="9">
        <v>60.66504460665044</v>
      </c>
      <c r="AQ29" s="9">
        <v>59.570154095701547</v>
      </c>
      <c r="AR29" s="9">
        <v>60.300081103000814</v>
      </c>
      <c r="AS29" s="9">
        <v>60.056772100567727</v>
      </c>
      <c r="AT29" s="9"/>
    </row>
    <row r="30" spans="1:46">
      <c r="A30" s="8" t="s">
        <v>14</v>
      </c>
      <c r="B30" s="9"/>
      <c r="C30" s="9">
        <v>50</v>
      </c>
      <c r="D30" s="9">
        <v>53</v>
      </c>
      <c r="E30" s="9">
        <v>54</v>
      </c>
      <c r="F30" s="9">
        <v>53.2</v>
      </c>
      <c r="G30" s="9">
        <v>50</v>
      </c>
      <c r="H30" s="9">
        <v>50</v>
      </c>
      <c r="I30" s="9">
        <v>54</v>
      </c>
      <c r="J30" s="9">
        <v>48</v>
      </c>
      <c r="K30" s="9">
        <v>51</v>
      </c>
      <c r="L30" s="9">
        <v>61</v>
      </c>
      <c r="M30" s="9">
        <v>64</v>
      </c>
      <c r="N30" s="9"/>
      <c r="O30" s="9">
        <v>68</v>
      </c>
      <c r="P30" s="9"/>
      <c r="Q30" s="9">
        <v>66</v>
      </c>
      <c r="R30" s="9"/>
      <c r="S30" s="9">
        <v>51</v>
      </c>
      <c r="T30" s="9">
        <v>68</v>
      </c>
      <c r="U30" s="9"/>
      <c r="V30" s="9"/>
      <c r="W30" s="9">
        <v>67</v>
      </c>
      <c r="X30" s="9">
        <v>62</v>
      </c>
      <c r="Y30" s="9"/>
      <c r="Z30" s="9">
        <v>71</v>
      </c>
      <c r="AA30" s="9"/>
      <c r="AB30" s="9">
        <v>67</v>
      </c>
      <c r="AC30" s="9"/>
      <c r="AD30" s="9">
        <v>65</v>
      </c>
      <c r="AE30" s="9"/>
      <c r="AF30" s="9">
        <v>67</v>
      </c>
      <c r="AG30" s="9">
        <v>61</v>
      </c>
      <c r="AH30" s="9">
        <v>68</v>
      </c>
      <c r="AI30" s="9">
        <v>61</v>
      </c>
      <c r="AJ30" s="9">
        <v>69</v>
      </c>
      <c r="AK30" s="9"/>
      <c r="AL30" s="9">
        <v>50</v>
      </c>
      <c r="AM30" s="9">
        <v>67</v>
      </c>
      <c r="AN30" s="9"/>
      <c r="AO30" s="9">
        <v>67</v>
      </c>
      <c r="AP30" s="9">
        <v>64</v>
      </c>
      <c r="AQ30" s="9">
        <v>67</v>
      </c>
      <c r="AR30" s="9">
        <v>62</v>
      </c>
      <c r="AS30" s="9">
        <v>67</v>
      </c>
      <c r="AT30" s="9"/>
    </row>
    <row r="31" spans="1:46">
      <c r="A31" s="8" t="s">
        <v>46</v>
      </c>
      <c r="B31" s="9"/>
      <c r="C31" s="9">
        <v>88.333333333333329</v>
      </c>
      <c r="D31" s="9">
        <v>83.333333333333343</v>
      </c>
      <c r="E31" s="9">
        <v>89.444444444444443</v>
      </c>
      <c r="F31" s="9">
        <v>89.222222222222214</v>
      </c>
      <c r="G31" s="9">
        <v>91.111111111111114</v>
      </c>
      <c r="H31" s="9">
        <v>87.222222222222229</v>
      </c>
      <c r="I31" s="9">
        <v>90</v>
      </c>
      <c r="J31" s="9">
        <v>91.722222222222214</v>
      </c>
      <c r="K31" s="9">
        <v>93.333333333333329</v>
      </c>
      <c r="L31" s="9">
        <v>93.888888888888886</v>
      </c>
      <c r="M31" s="9">
        <v>96.111111111111114</v>
      </c>
      <c r="N31" s="9"/>
      <c r="O31" s="9">
        <v>97.222222222222214</v>
      </c>
      <c r="P31" s="9"/>
      <c r="Q31" s="9">
        <v>95</v>
      </c>
      <c r="R31" s="9"/>
      <c r="S31" s="9">
        <v>81.833333333333343</v>
      </c>
      <c r="T31" s="9">
        <v>98.333333333333329</v>
      </c>
      <c r="U31" s="9"/>
      <c r="V31" s="9"/>
      <c r="W31" s="9">
        <v>95.555555555555557</v>
      </c>
      <c r="X31" s="9">
        <v>95.555555555555557</v>
      </c>
      <c r="Y31" s="9"/>
      <c r="Z31" s="9">
        <v>99.444444444444443</v>
      </c>
      <c r="AA31" s="9"/>
      <c r="AB31" s="9">
        <v>96.111111111111114</v>
      </c>
      <c r="AC31" s="9"/>
      <c r="AD31" s="9">
        <v>96.111111111111114</v>
      </c>
      <c r="AE31" s="9"/>
      <c r="AF31" s="9">
        <v>93.333333333333329</v>
      </c>
      <c r="AG31" s="9">
        <v>88.333333333333329</v>
      </c>
      <c r="AH31" s="9">
        <v>93.888888888888886</v>
      </c>
      <c r="AI31" s="9">
        <v>96.666666666666671</v>
      </c>
      <c r="AJ31" s="9">
        <v>80.555555555555557</v>
      </c>
      <c r="AK31" s="9"/>
      <c r="AL31" s="9">
        <v>91.666666666666657</v>
      </c>
      <c r="AM31" s="9">
        <v>96.111111111111114</v>
      </c>
      <c r="AN31" s="9"/>
      <c r="AO31" s="9">
        <v>88.888888888888886</v>
      </c>
      <c r="AP31" s="9">
        <v>98.888888888888886</v>
      </c>
      <c r="AQ31" s="9">
        <v>98.888888888888886</v>
      </c>
      <c r="AR31" s="9">
        <v>94.444444444444443</v>
      </c>
      <c r="AS31" s="9">
        <v>92.222222222222229</v>
      </c>
      <c r="AT31" s="9"/>
    </row>
    <row r="32" spans="1:46">
      <c r="A32" s="8" t="s">
        <v>15</v>
      </c>
      <c r="B32" s="9"/>
      <c r="C32" s="9">
        <v>97.712978845054323</v>
      </c>
      <c r="D32" s="9">
        <v>97.341337907375646</v>
      </c>
      <c r="E32" s="9">
        <v>98.227558604917093</v>
      </c>
      <c r="F32" s="9">
        <v>99.55688965122927</v>
      </c>
      <c r="G32" s="9">
        <v>97.65580331618068</v>
      </c>
      <c r="H32" s="9">
        <v>96.801029159519729</v>
      </c>
      <c r="I32" s="9">
        <v>97.85591766723843</v>
      </c>
      <c r="J32" s="9">
        <v>96.801029159519729</v>
      </c>
      <c r="K32" s="9">
        <v>97.284162378502003</v>
      </c>
      <c r="L32" s="9">
        <v>92.938822184105206</v>
      </c>
      <c r="M32" s="9">
        <v>92.481417953116065</v>
      </c>
      <c r="N32" s="9"/>
      <c r="O32" s="9">
        <v>96.99828473413379</v>
      </c>
      <c r="P32" s="9"/>
      <c r="Q32" s="9">
        <v>46.941109205260148</v>
      </c>
      <c r="R32" s="9"/>
      <c r="S32" s="9">
        <v>98.190394511149222</v>
      </c>
      <c r="T32" s="9">
        <v>98.913664951400804</v>
      </c>
      <c r="U32" s="9"/>
      <c r="V32" s="9"/>
      <c r="W32" s="9">
        <v>98.513436249285306</v>
      </c>
      <c r="X32" s="9">
        <v>98.939393939393938</v>
      </c>
      <c r="Y32" s="9"/>
      <c r="Z32" s="9">
        <v>99.028016009148089</v>
      </c>
      <c r="AA32" s="9"/>
      <c r="AB32" s="9">
        <v>98.59919954259577</v>
      </c>
      <c r="AC32" s="9"/>
      <c r="AD32" s="9">
        <v>98.59919954259577</v>
      </c>
      <c r="AE32" s="9"/>
      <c r="AF32" s="9">
        <v>98.542024013722127</v>
      </c>
      <c r="AG32" s="9">
        <v>93.650657518582051</v>
      </c>
      <c r="AH32" s="9">
        <v>98.513436249285306</v>
      </c>
      <c r="AI32" s="9">
        <v>99.230989136649512</v>
      </c>
      <c r="AJ32" s="9">
        <v>98.484848484848484</v>
      </c>
      <c r="AK32" s="9"/>
      <c r="AL32" s="9">
        <v>97.741566609491144</v>
      </c>
      <c r="AM32" s="9">
        <v>98.513436249285306</v>
      </c>
      <c r="AN32" s="9"/>
      <c r="AO32" s="9">
        <v>98.427672955974842</v>
      </c>
      <c r="AP32" s="9">
        <v>99.14236706689536</v>
      </c>
      <c r="AQ32" s="9">
        <v>99.342481417953124</v>
      </c>
      <c r="AR32" s="9">
        <v>98.542024013722127</v>
      </c>
      <c r="AS32" s="9">
        <v>98.513436249285306</v>
      </c>
      <c r="AT32" s="9"/>
    </row>
    <row r="33" spans="1:46">
      <c r="A33" s="8" t="s">
        <v>16</v>
      </c>
      <c r="B33" s="9"/>
      <c r="C33" s="9">
        <v>15.120787354607815</v>
      </c>
      <c r="D33" s="9">
        <v>17.599164926931106</v>
      </c>
      <c r="E33" s="9">
        <v>27.82582761705935</v>
      </c>
      <c r="F33" s="9">
        <v>29.427378467044441</v>
      </c>
      <c r="G33" s="9">
        <v>33.015210259469129</v>
      </c>
      <c r="H33" s="9">
        <v>32.400835073068897</v>
      </c>
      <c r="I33" s="9">
        <v>33.16433045034298</v>
      </c>
      <c r="J33" s="9">
        <v>35.401133313450636</v>
      </c>
      <c r="K33" s="9">
        <v>33.641515061139273</v>
      </c>
      <c r="L33" s="9">
        <v>7.1011034894124663</v>
      </c>
      <c r="M33" s="9">
        <v>6.6507605129734566</v>
      </c>
      <c r="N33" s="9"/>
      <c r="O33" s="9">
        <v>16.224276767074262</v>
      </c>
      <c r="P33" s="9"/>
      <c r="Q33" s="9">
        <v>5.4279749478079333</v>
      </c>
      <c r="R33" s="9"/>
      <c r="S33" s="9">
        <v>18.240381747688637</v>
      </c>
      <c r="T33" s="9">
        <v>14.524306591112438</v>
      </c>
      <c r="U33" s="9"/>
      <c r="V33" s="9"/>
      <c r="W33" s="9">
        <v>13.748881598568447</v>
      </c>
      <c r="X33" s="9">
        <v>17.751267521622431</v>
      </c>
      <c r="Y33" s="9"/>
      <c r="Z33" s="9">
        <v>4.9209662988368628</v>
      </c>
      <c r="AA33" s="9"/>
      <c r="AB33" s="9">
        <v>15.508499850879808</v>
      </c>
      <c r="AC33" s="9"/>
      <c r="AD33" s="9">
        <v>11.691022964509393</v>
      </c>
      <c r="AE33" s="9"/>
      <c r="AF33" s="9">
        <v>14.315538323889054</v>
      </c>
      <c r="AG33" s="9">
        <v>7.5514464658514759</v>
      </c>
      <c r="AH33" s="9">
        <v>14.255890247539515</v>
      </c>
      <c r="AI33" s="9">
        <v>11.691022964509393</v>
      </c>
      <c r="AJ33" s="9">
        <v>15.090963316433045</v>
      </c>
      <c r="AK33" s="9"/>
      <c r="AL33" s="9">
        <v>3.0122278556516555</v>
      </c>
      <c r="AM33" s="9">
        <v>13.122576796898301</v>
      </c>
      <c r="AN33" s="9"/>
      <c r="AO33" s="9">
        <v>11.541902773635551</v>
      </c>
      <c r="AP33" s="9">
        <v>32.1801371905756</v>
      </c>
      <c r="AQ33" s="9">
        <v>33.074858335818668</v>
      </c>
      <c r="AR33" s="9">
        <v>24.658514762898896</v>
      </c>
      <c r="AS33" s="9">
        <v>23.799582463465555</v>
      </c>
      <c r="AT33" s="9"/>
    </row>
    <row r="34" spans="1:46">
      <c r="A34" s="8" t="s">
        <v>17</v>
      </c>
      <c r="B34" s="9"/>
      <c r="C34" s="9">
        <v>80.26315789473685</v>
      </c>
      <c r="D34" s="9">
        <v>86.18421052631578</v>
      </c>
      <c r="E34" s="9">
        <v>90.789473684210535</v>
      </c>
      <c r="F34" s="9">
        <v>93.026315789473685</v>
      </c>
      <c r="G34" s="9">
        <v>90.131578947368425</v>
      </c>
      <c r="H34" s="9">
        <v>91.381578947368425</v>
      </c>
      <c r="I34" s="9">
        <v>91.44736842105263</v>
      </c>
      <c r="J34" s="9">
        <v>90.789473684210535</v>
      </c>
      <c r="K34" s="9">
        <v>90.131578947368425</v>
      </c>
      <c r="L34" s="9">
        <v>78.94736842105263</v>
      </c>
      <c r="M34" s="9">
        <v>78.94736842105263</v>
      </c>
      <c r="N34" s="9"/>
      <c r="O34" s="9">
        <v>81.578947368421055</v>
      </c>
      <c r="P34" s="9"/>
      <c r="Q34" s="9">
        <v>86.842105263157904</v>
      </c>
      <c r="R34" s="9"/>
      <c r="S34" s="9">
        <v>82.631578947368425</v>
      </c>
      <c r="T34" s="9">
        <v>89.473684210526315</v>
      </c>
      <c r="U34" s="9"/>
      <c r="V34" s="9"/>
      <c r="W34" s="9">
        <v>84.210526315789465</v>
      </c>
      <c r="X34" s="9">
        <v>90.789473684210535</v>
      </c>
      <c r="Y34" s="9"/>
      <c r="Z34" s="9">
        <v>94.078947368421055</v>
      </c>
      <c r="AA34" s="9"/>
      <c r="AB34" s="9">
        <v>91.44736842105263</v>
      </c>
      <c r="AC34" s="9"/>
      <c r="AD34" s="9">
        <v>84.868421052631575</v>
      </c>
      <c r="AE34" s="9"/>
      <c r="AF34" s="9">
        <v>85.526315789473685</v>
      </c>
      <c r="AG34" s="9">
        <v>81.578947368421055</v>
      </c>
      <c r="AH34" s="9">
        <v>87.5</v>
      </c>
      <c r="AI34" s="9">
        <v>84.210526315789465</v>
      </c>
      <c r="AJ34" s="9">
        <v>85.526315789473685</v>
      </c>
      <c r="AK34" s="9"/>
      <c r="AL34" s="9">
        <v>76.973684210526315</v>
      </c>
      <c r="AM34" s="9">
        <v>86.842105263157904</v>
      </c>
      <c r="AN34" s="9"/>
      <c r="AO34" s="9">
        <v>81.578947368421055</v>
      </c>
      <c r="AP34" s="9">
        <v>90.789473684210535</v>
      </c>
      <c r="AQ34" s="9">
        <v>91.44736842105263</v>
      </c>
      <c r="AR34" s="9">
        <v>91.44736842105263</v>
      </c>
      <c r="AS34" s="9">
        <v>90.789473684210535</v>
      </c>
      <c r="AT34" s="9"/>
    </row>
    <row r="35" spans="1:46">
      <c r="A35" s="8" t="s">
        <v>18</v>
      </c>
      <c r="B35" s="9"/>
      <c r="C35" s="9">
        <v>20</v>
      </c>
      <c r="D35" s="9">
        <v>46.666666666666664</v>
      </c>
      <c r="E35" s="9">
        <v>46.666666666666664</v>
      </c>
      <c r="F35" s="9">
        <v>44</v>
      </c>
      <c r="G35" s="9">
        <v>40</v>
      </c>
      <c r="H35" s="9">
        <v>40</v>
      </c>
      <c r="I35" s="9">
        <v>40</v>
      </c>
      <c r="J35" s="9">
        <v>60</v>
      </c>
      <c r="K35" s="9">
        <v>66.666666666666657</v>
      </c>
      <c r="L35" s="9">
        <v>60</v>
      </c>
      <c r="M35" s="9">
        <v>53.333333333333336</v>
      </c>
      <c r="N35" s="9"/>
      <c r="O35" s="9">
        <v>73.333333333333329</v>
      </c>
      <c r="P35" s="9"/>
      <c r="Q35" s="9">
        <v>66.666666666666657</v>
      </c>
      <c r="R35" s="9"/>
      <c r="S35" s="9">
        <v>53.333333333333336</v>
      </c>
      <c r="T35" s="9">
        <v>66.666666666666657</v>
      </c>
      <c r="U35" s="9"/>
      <c r="V35" s="9"/>
      <c r="W35" s="9">
        <v>80</v>
      </c>
      <c r="X35" s="9">
        <v>46.666666666666664</v>
      </c>
      <c r="Y35" s="9"/>
      <c r="Z35" s="9">
        <v>73.333333333333329</v>
      </c>
      <c r="AA35" s="9"/>
      <c r="AB35" s="9">
        <v>73.333333333333329</v>
      </c>
      <c r="AC35" s="9"/>
      <c r="AD35" s="9">
        <v>66.666666666666657</v>
      </c>
      <c r="AE35" s="9"/>
      <c r="AF35" s="9">
        <v>66.666666666666657</v>
      </c>
      <c r="AG35" s="9">
        <v>53.333333333333336</v>
      </c>
      <c r="AH35" s="9">
        <v>80</v>
      </c>
      <c r="AI35" s="9">
        <v>60</v>
      </c>
      <c r="AJ35" s="9">
        <v>86.666666666666671</v>
      </c>
      <c r="AK35" s="9"/>
      <c r="AL35" s="9">
        <v>33.333333333333329</v>
      </c>
      <c r="AM35" s="9">
        <v>73.333333333333329</v>
      </c>
      <c r="AN35" s="9"/>
      <c r="AO35" s="9">
        <v>73.333333333333329</v>
      </c>
      <c r="AP35" s="9">
        <v>53.333333333333336</v>
      </c>
      <c r="AQ35" s="9">
        <v>60</v>
      </c>
      <c r="AR35" s="9">
        <v>73.333333333333329</v>
      </c>
      <c r="AS35" s="9">
        <v>73.333333333333329</v>
      </c>
      <c r="AT35" s="9"/>
    </row>
    <row r="36" spans="1:46">
      <c r="A36" s="2" t="s">
        <v>66</v>
      </c>
      <c r="B36" s="36" cm="1">
        <f t="array" ref="B36">SUM(--(B6:B35&lt;=C6:C35))-COUNTBLANK(B6:B35)</f>
        <v>8</v>
      </c>
      <c r="C36" s="1"/>
      <c r="D36" s="36" cm="1">
        <f t="array" ref="D36">SUM(--(D6:D35&lt;=E6:E35))-COUNTBLANK(D6:D35)</f>
        <v>23</v>
      </c>
      <c r="E36" s="1"/>
      <c r="F36" s="36" cm="1">
        <f t="array" ref="F36">SUM(--(F6:F35&lt;=G6:G35))-COUNTBLANK(F6:F35)</f>
        <v>15</v>
      </c>
      <c r="G36" s="1"/>
      <c r="H36" s="36" cm="1">
        <f t="array" ref="H36">SUM(--(H6:H35&lt;=I6:I35))-COUNTBLANK(H6:H35)</f>
        <v>28</v>
      </c>
      <c r="I36" s="1"/>
      <c r="J36" s="36" cm="1">
        <f t="array" ref="J36">SUM(--(J6:J35&lt;=K6:K35))-COUNTBLANK(J6:J35)</f>
        <v>21</v>
      </c>
      <c r="K36" s="1"/>
      <c r="L36" s="36" cm="1">
        <f t="array" ref="L36">SUM(--(L6:L35&lt;=M6:M35))-COUNTBLANK(L6:L35)</f>
        <v>21</v>
      </c>
      <c r="M36" s="1"/>
      <c r="N36" s="36" cm="1">
        <f t="array" ref="N36">SUM(--(N6:N35&lt;=O6:O35))-COUNTBLANK(N6:N35)</f>
        <v>7</v>
      </c>
      <c r="O36" s="1"/>
      <c r="P36" s="36" cm="1">
        <f t="array" ref="P36">SUM(--(P6:P35&lt;=Q6:Q35))-COUNTBLANK(P6:P35)</f>
        <v>6</v>
      </c>
      <c r="Q36" s="1"/>
      <c r="R36" s="36" cm="1">
        <f t="array" ref="R36">SUM(--(R6:R35&lt;=T6:T35))-COUNTBLANK(R6:R35)</f>
        <v>8</v>
      </c>
      <c r="S36" s="36" cm="1">
        <f t="array" ref="S36">SUM(--(S6:S35&lt;=T6:T35))-COUNTBLANK(S6:S35)</f>
        <v>27</v>
      </c>
      <c r="T36" s="1"/>
      <c r="U36" s="39" cm="1">
        <f t="array" ref="U36">SUM(--(U6:U35&lt;=W6:W35))-COUNTBLANK(U6:U35)</f>
        <v>4</v>
      </c>
      <c r="V36" s="36" cm="1">
        <f t="array" ref="V36">SUM(--(V6:V35&lt;=W6:W35))-COUNTBLANK(V6:V35)</f>
        <v>8</v>
      </c>
      <c r="W36" s="1"/>
      <c r="X36" s="36" cm="1">
        <f t="array" ref="X36">SUM(--(X6:X35&lt;=Z6:Z35))-COUNTBLANK(X6:X35)</f>
        <v>19</v>
      </c>
      <c r="Y36" s="36" cm="1">
        <f t="array" ref="Y36">SUM(--(Y6:Y35&lt;=Z6:Z35))-COUNTBLANK(Y6:Y35)</f>
        <v>3</v>
      </c>
      <c r="Z36" s="1"/>
      <c r="AA36" s="39" cm="1">
        <f t="array" ref="AA36">SUM(--(AA6:AA35&lt;=AB6:AB35))-COUNTBLANK(AA6:AA35)</f>
        <v>4</v>
      </c>
      <c r="AB36" s="1"/>
      <c r="AC36" s="36" cm="1">
        <f t="array" ref="AC36">SUM(--(AC6:AC35&lt;=AD6:AD35))-COUNTBLANK(AC6:AC35)</f>
        <v>6</v>
      </c>
      <c r="AD36" s="1"/>
      <c r="AE36" s="36" cm="1">
        <f t="array" ref="AE36">SUM(--(AE6:AE35&lt;=AF6:AF35))-COUNTBLANK(AE6:AE35)</f>
        <v>9</v>
      </c>
      <c r="AF36" s="1"/>
      <c r="AG36" s="36" cm="1">
        <f t="array" ref="AG36">SUM(--(AG6:AG35&lt;=AH6:AH35))-COUNTBLANK(AG6:AG35)</f>
        <v>28</v>
      </c>
      <c r="AH36" s="1"/>
      <c r="AI36" s="36" cm="1">
        <f t="array" ref="AI36">SUM(--(AI6:AI35&lt;=AJ6:AJ35))-COUNTBLANK(AI6:AI35)</f>
        <v>18</v>
      </c>
      <c r="AJ36" s="1"/>
      <c r="AK36" s="36" cm="1">
        <f t="array" ref="AK36">SUM(--(AK6:AK35&lt;=AM6:AM35))-COUNTBLANK(AK6:AK35)</f>
        <v>6</v>
      </c>
      <c r="AL36" s="36" cm="1">
        <f t="array" ref="AL36">SUM(--(AL6:AL35&lt;=AM6:AM35))-COUNTBLANK(AL6:AL35)</f>
        <v>29</v>
      </c>
      <c r="AM36" s="1"/>
      <c r="AN36" s="36" cm="1">
        <f t="array" ref="AN36">SUM(--(AN6:AN35&lt;=AO6:AO35))-COUNTBLANK(AN6:AN35)</f>
        <v>10</v>
      </c>
      <c r="AO36" s="1"/>
      <c r="AP36" s="36" cm="1">
        <f t="array" ref="AP36">SUM(--(AP6:AP35&lt;=AQ6:AQ35))-COUNTBLANK(AP6:AP35)</f>
        <v>18</v>
      </c>
      <c r="AQ36" s="1"/>
      <c r="AR36" s="36" cm="1">
        <f t="array" ref="AR36">SUM(--(AR6:AR35&lt;=AS6:AS35))</f>
        <v>17</v>
      </c>
      <c r="AS36" s="1"/>
      <c r="AT36" s="9"/>
    </row>
    <row r="37" spans="1:46">
      <c r="A37" s="2" t="s">
        <v>65</v>
      </c>
      <c r="B37" s="37" cm="1">
        <f t="array" ref="B37">SUM(--(B6:B35&gt;=C6:C35))</f>
        <v>6</v>
      </c>
      <c r="C37" s="1"/>
      <c r="D37" s="37" cm="1">
        <f t="array" ref="D37">SUM(--(D6:D35&gt;=E6:E35))</f>
        <v>12</v>
      </c>
      <c r="E37" s="1"/>
      <c r="F37" s="37" cm="1">
        <f t="array" ref="F37">SUM(--(F6:F35&gt;=G6:G35))</f>
        <v>12</v>
      </c>
      <c r="G37" s="1"/>
      <c r="H37" s="37" cm="1">
        <f t="array" ref="H37">SUM(--(H6:H35&gt;=I6:I35))</f>
        <v>10</v>
      </c>
      <c r="I37" s="1"/>
      <c r="J37" s="37" cm="1">
        <f t="array" ref="J37">SUM(--(J6:J35&gt;=K6:K35))</f>
        <v>15</v>
      </c>
      <c r="K37" s="1"/>
      <c r="L37" s="37" cm="1">
        <f t="array" ref="L37">SUM(--(L6:L35&gt;=M6:M35))</f>
        <v>11</v>
      </c>
      <c r="M37" s="1"/>
      <c r="N37" s="37" cm="1">
        <f t="array" ref="N37">SUM(--(N6:N35&gt;=O6:O35))</f>
        <v>3</v>
      </c>
      <c r="O37" s="1"/>
      <c r="P37" s="37" cm="1">
        <f t="array" ref="P37">SUM(--(P6:P35&gt;=Q6:Q35))</f>
        <v>4</v>
      </c>
      <c r="Q37" s="1"/>
      <c r="R37" s="37" cm="1">
        <f t="array" ref="R37">SUM(--(R6:R35&gt;=T6:T35))</f>
        <v>2</v>
      </c>
      <c r="S37" s="37" cm="1">
        <f t="array" ref="S37">SUM(--(S6:S35&gt;=T6:T35))</f>
        <v>4</v>
      </c>
      <c r="T37" s="1"/>
      <c r="U37" s="40" cm="1">
        <f t="array" ref="U37">SUM(--(U6:U35&gt;=W6:W35))</f>
        <v>6</v>
      </c>
      <c r="V37" s="37" cm="1">
        <f t="array" ref="V37">SUM(--(V6:V35&gt;=W6:W35))</f>
        <v>2</v>
      </c>
      <c r="W37" s="1"/>
      <c r="X37" s="37" cm="1">
        <f t="array" ref="X37">SUM(--(X6:X35&gt;=Z6:Z35))</f>
        <v>8</v>
      </c>
      <c r="Y37" s="37" cm="1">
        <f t="array" ref="Y37">SUM(--(Y6:Y35&gt;=Z6:Z35))</f>
        <v>1</v>
      </c>
      <c r="Z37" s="1"/>
      <c r="AA37" s="40" cm="1">
        <f t="array" ref="AA37">SUM(--(AA6:AA35&gt;=AB6:AB35))</f>
        <v>6</v>
      </c>
      <c r="AB37" s="1"/>
      <c r="AC37" s="37" cm="1">
        <f t="array" ref="AC37">SUM(--(AC6:AC35&gt;=AD6:AD35))</f>
        <v>4</v>
      </c>
      <c r="AD37" s="1"/>
      <c r="AE37" s="37" cm="1">
        <f t="array" ref="AE37">SUM(--(AE6:AE35&gt;=AF6:AF35))</f>
        <v>1</v>
      </c>
      <c r="AF37" s="1"/>
      <c r="AG37" s="37" cm="1">
        <f t="array" ref="AG37">SUM(--(AG6:AG35&gt;=AH6:AH35))</f>
        <v>3</v>
      </c>
      <c r="AH37" s="1"/>
      <c r="AI37" s="37" cm="1">
        <f t="array" ref="AI37">SUM(--(AI6:AI35&gt;=AJ6:AJ35))</f>
        <v>12</v>
      </c>
      <c r="AJ37" s="1"/>
      <c r="AK37" s="37" cm="1">
        <f t="array" ref="AK37">SUM(--(AK6:AK35&gt;=AM6:AM35))</f>
        <v>4</v>
      </c>
      <c r="AL37" s="37" cm="1">
        <f t="array" ref="AL37">SUM(--(AL6:AL35&gt;=AM6:AM35))</f>
        <v>2</v>
      </c>
      <c r="AM37" s="1"/>
      <c r="AN37" s="37" cm="1">
        <f t="array" ref="AN37">SUM(--(AN6:AN35&gt;=AO6:AO35))</f>
        <v>0</v>
      </c>
      <c r="AO37" s="1"/>
      <c r="AP37" s="37" cm="1">
        <f t="array" ref="AP37">SUM(--(AP6:AP35&gt;=AQ6:AQ35))</f>
        <v>17</v>
      </c>
      <c r="AQ37" s="1"/>
      <c r="AR37" s="37" cm="1">
        <f t="array" ref="AR37">SUM(--(AR6:AR35&gt;=AS6:AS35))-COUNTBLANK(AS6:AS35)</f>
        <v>16</v>
      </c>
      <c r="AS37" s="1"/>
      <c r="AT37" s="9"/>
    </row>
    <row r="38" spans="1:46">
      <c r="A38" s="18" t="s">
        <v>68</v>
      </c>
      <c r="B38" s="22">
        <f>B74</f>
        <v>3.3852693564008645</v>
      </c>
      <c r="C38" s="22"/>
      <c r="D38" s="22">
        <f>D74</f>
        <v>2.0559779372293012</v>
      </c>
      <c r="E38" s="22"/>
      <c r="F38" s="22">
        <f>F74</f>
        <v>0.22388484433037201</v>
      </c>
      <c r="G38" s="22"/>
      <c r="H38" s="22">
        <f>H74</f>
        <v>3.3201415835326999</v>
      </c>
      <c r="I38" s="22"/>
      <c r="J38" s="22">
        <f>J74</f>
        <v>0.74673128359426244</v>
      </c>
      <c r="K38" s="22"/>
      <c r="L38" s="22">
        <f>L74</f>
        <v>1.2373937619595496</v>
      </c>
      <c r="M38" s="22"/>
      <c r="N38" s="22">
        <f>N74</f>
        <v>2.3383544402236316</v>
      </c>
      <c r="O38" s="22"/>
      <c r="P38" s="22">
        <f>P74</f>
        <v>-1.2983725978028313</v>
      </c>
      <c r="Q38" s="22"/>
      <c r="R38" s="22">
        <f t="shared" ref="R38:S38" si="0">R74</f>
        <v>1.5928076948715195</v>
      </c>
      <c r="S38" s="22">
        <f t="shared" si="0"/>
        <v>9.0140008244849277</v>
      </c>
      <c r="T38" s="22"/>
      <c r="U38" s="38">
        <f>U74</f>
        <v>-0.76051065043168431</v>
      </c>
      <c r="V38" s="22">
        <f t="shared" ref="V38" si="1">V74</f>
        <v>0.83530566895171465</v>
      </c>
      <c r="W38" s="22"/>
      <c r="X38" s="22">
        <f t="shared" ref="X38:Y38" si="2">X74</f>
        <v>2.1605734007506205</v>
      </c>
      <c r="Y38" s="22">
        <f t="shared" si="2"/>
        <v>21.330071752417542</v>
      </c>
      <c r="Z38" s="22"/>
      <c r="AA38" s="38">
        <f>AA74</f>
        <v>-0.3408448465844181</v>
      </c>
      <c r="AB38" s="22"/>
      <c r="AC38" s="22">
        <f t="shared" ref="AC38" si="3">AC74</f>
        <v>0.87918585641926972</v>
      </c>
      <c r="AD38" s="22"/>
      <c r="AE38" s="22">
        <f t="shared" ref="AE38" si="4">AE74</f>
        <v>3.3053989979752827</v>
      </c>
      <c r="AF38" s="22"/>
      <c r="AG38" s="22">
        <f t="shared" ref="AG38" si="5">AG74</f>
        <v>9.0104482746917789</v>
      </c>
      <c r="AH38" s="22"/>
      <c r="AI38" s="22">
        <f t="shared" ref="AI38" si="6">AI74</f>
        <v>5.2617218947908917</v>
      </c>
      <c r="AJ38" s="22"/>
      <c r="AK38" s="22">
        <f t="shared" ref="AK38:AL38" si="7">AK74</f>
        <v>0.32950804462284111</v>
      </c>
      <c r="AL38" s="22">
        <f t="shared" si="7"/>
        <v>15.616999779132721</v>
      </c>
      <c r="AM38" s="22"/>
      <c r="AN38" s="22">
        <f t="shared" ref="AN38" si="8">AN74</f>
        <v>3.5979594858559096</v>
      </c>
      <c r="AO38" s="22"/>
      <c r="AP38" s="22">
        <f t="shared" ref="AP38" si="9">AP74</f>
        <v>0.27815926554879894</v>
      </c>
      <c r="AQ38" s="22"/>
      <c r="AR38" s="22">
        <f>AR74</f>
        <v>8.0194679186647494E-2</v>
      </c>
      <c r="AS38" s="22"/>
      <c r="AT38" s="21"/>
    </row>
    <row r="39" spans="1:46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1"/>
    </row>
    <row r="40" spans="1:46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1"/>
    </row>
    <row r="41" spans="1:46">
      <c r="A41" s="2"/>
      <c r="B41" s="1" t="str">
        <f>B4</f>
        <v>DTW_D</v>
      </c>
      <c r="C41" s="1"/>
      <c r="D41" s="1" t="str">
        <f>D4</f>
        <v>ROCKET</v>
      </c>
      <c r="E41" s="1"/>
      <c r="F41" s="1" t="str">
        <f>F4</f>
        <v>HC2</v>
      </c>
      <c r="G41" s="1"/>
      <c r="H41" s="1" t="str">
        <f>H4</f>
        <v>Hydra</v>
      </c>
      <c r="I41" s="1"/>
      <c r="J41" s="1" t="str">
        <f>J4</f>
        <v>MR+Hydra</v>
      </c>
      <c r="K41" s="1"/>
      <c r="L41" s="1" t="str">
        <f>L4</f>
        <v>DLinear</v>
      </c>
      <c r="M41" s="1"/>
      <c r="N41" s="1" t="str">
        <f>N4</f>
        <v>LightTS</v>
      </c>
      <c r="O41" s="1"/>
      <c r="P41" s="1" t="str">
        <f>P4</f>
        <v>MTS-Mixer</v>
      </c>
      <c r="Q41" s="1"/>
      <c r="R41" s="1" t="str">
        <f>R4</f>
        <v>TimesNet</v>
      </c>
      <c r="S41" s="1">
        <f>S4</f>
        <v>0</v>
      </c>
      <c r="T41" s="1"/>
      <c r="U41" s="1" t="str">
        <f>U4</f>
        <v>ModernTCN</v>
      </c>
      <c r="V41" s="1">
        <f>V4</f>
        <v>0</v>
      </c>
      <c r="W41" s="1"/>
      <c r="X41" s="1" t="str">
        <f>X4</f>
        <v>TSLANet</v>
      </c>
      <c r="Y41" s="1">
        <f>Y4</f>
        <v>0</v>
      </c>
      <c r="Z41" s="1"/>
      <c r="AA41" s="1" t="str">
        <f>AA4</f>
        <v>TimeMixer++</v>
      </c>
      <c r="AB41" s="1"/>
      <c r="AC41" s="1" t="str">
        <f>AC4</f>
        <v>FEDformer</v>
      </c>
      <c r="AD41" s="1"/>
      <c r="AE41" s="1" t="str">
        <f>AE4</f>
        <v>ETSformer</v>
      </c>
      <c r="AF41" s="1"/>
      <c r="AG41" s="1" t="str">
        <f>AG4</f>
        <v>Crossformer</v>
      </c>
      <c r="AH41" s="1"/>
      <c r="AI41" s="1" t="str">
        <f>AI4</f>
        <v>PatchTST</v>
      </c>
      <c r="AJ41" s="1"/>
      <c r="AK41" s="1" t="str">
        <f>AK4</f>
        <v>GPT4TS</v>
      </c>
      <c r="AL41" s="1">
        <f>AL4</f>
        <v>0</v>
      </c>
      <c r="AM41" s="1"/>
      <c r="AN41" s="1" t="str">
        <f>AN4</f>
        <v>iTransformer</v>
      </c>
      <c r="AO41" s="1"/>
      <c r="AP41" s="1" t="str">
        <f>AP4</f>
        <v>InterpGN</v>
      </c>
      <c r="AQ41" s="1"/>
      <c r="AR41" s="1" t="str">
        <f>AR4</f>
        <v>TSCMamba</v>
      </c>
      <c r="AS41" s="1"/>
      <c r="AT41" s="1"/>
    </row>
    <row r="42" spans="1:46">
      <c r="A42" s="2"/>
      <c r="B42" s="11">
        <f t="shared" ref="B42:B51" si="10">B6-C6</f>
        <v>-3.8022813688208146E-2</v>
      </c>
      <c r="C42" s="1"/>
      <c r="D42" s="11">
        <f t="shared" ref="D42:D71" si="11">D6-E6</f>
        <v>0.72243346007604714</v>
      </c>
      <c r="E42" s="1"/>
      <c r="F42" s="11">
        <f>F6-G6</f>
        <v>26.235741444866925</v>
      </c>
      <c r="G42" s="1"/>
      <c r="H42" s="11">
        <f t="shared" ref="H42:H71" si="12">H6-I6</f>
        <v>0.41825095057034645</v>
      </c>
      <c r="I42" s="1"/>
      <c r="J42" s="11">
        <f t="shared" ref="J42:J71" si="13">J6-K6</f>
        <v>-1.1787072243346017</v>
      </c>
      <c r="K42" s="1"/>
      <c r="L42" s="11">
        <f t="shared" ref="L42:L71" si="14">L6-M6</f>
        <v>2.281368821292773</v>
      </c>
      <c r="M42" s="1"/>
      <c r="N42" s="11">
        <f t="shared" ref="N42:N51" si="15">N6-O6</f>
        <v>-2.623574144486696</v>
      </c>
      <c r="O42" s="1"/>
      <c r="P42" s="11">
        <f t="shared" ref="P42:P51" si="16">P6-Q6</f>
        <v>3.0038022813688237</v>
      </c>
      <c r="Q42" s="1"/>
      <c r="R42" s="11">
        <f t="shared" ref="R42:R51" si="17">R6-T6</f>
        <v>2.2433460076045648</v>
      </c>
      <c r="S42" s="11">
        <f t="shared" ref="S42:S71" si="18">S6-T6</f>
        <v>-5.7414448669201477</v>
      </c>
      <c r="T42" s="1"/>
      <c r="U42" s="11">
        <f t="shared" ref="U42:U51" si="19">U6-W6</f>
        <v>3.9923954372623598</v>
      </c>
      <c r="V42" s="11">
        <f t="shared" ref="V42:V51" si="20">V6-W6</f>
        <v>-0.41825095057033934</v>
      </c>
      <c r="W42" s="1"/>
      <c r="X42" s="11">
        <f t="shared" ref="X42:X54" si="21">X6-Z6</f>
        <v>-1.5209125475285177</v>
      </c>
      <c r="Y42" s="11"/>
      <c r="Z42" s="1"/>
      <c r="AA42" s="11">
        <f t="shared" ref="AA42:AA51" si="22">AA6-AB6</f>
        <v>5.2851711026615931</v>
      </c>
      <c r="AB42" s="1"/>
      <c r="AC42" s="11">
        <f t="shared" ref="AC42:AC51" si="23">AC6-AD6</f>
        <v>-2.623574144486696</v>
      </c>
      <c r="AD42" s="1"/>
      <c r="AE42" s="11">
        <f t="shared" ref="AE42:AE51" si="24">AE6-AF6</f>
        <v>-4.9809885931558853</v>
      </c>
      <c r="AF42" s="1"/>
      <c r="AG42" s="11">
        <f t="shared" ref="AG42:AG71" si="25">AG6-AH6</f>
        <v>-5.3612167300380236</v>
      </c>
      <c r="AH42" s="1"/>
      <c r="AI42" s="11">
        <f t="shared" ref="AI42:AI71" si="26">AI6-AJ6</f>
        <v>0.11406844106463865</v>
      </c>
      <c r="AJ42" s="1"/>
      <c r="AK42" s="11">
        <f t="shared" ref="AK42:AK51" si="27">AK6-AM6</f>
        <v>1.8631178707224336</v>
      </c>
      <c r="AL42" s="11">
        <f t="shared" ref="AL42:AL71" si="28">AL6-AM6</f>
        <v>-6.844106463878326</v>
      </c>
      <c r="AM42" s="1"/>
      <c r="AN42" s="11">
        <f t="shared" ref="AN42:AN51" si="29">AN6-AO6</f>
        <v>-3.8403041825095023</v>
      </c>
      <c r="AO42" s="1"/>
      <c r="AP42" s="11">
        <f t="shared" ref="AP42:AP71" si="30">AP6-AQ6</f>
        <v>1.5209125475285212</v>
      </c>
      <c r="AQ42" s="1"/>
      <c r="AR42" s="11">
        <f t="shared" ref="AR42:AR71" si="31">AR6-AS6</f>
        <v>31.216730038022806</v>
      </c>
      <c r="AS42" s="1"/>
      <c r="AT42" s="1"/>
    </row>
    <row r="43" spans="1:46">
      <c r="A43" s="2"/>
      <c r="B43" s="11">
        <f t="shared" si="10"/>
        <v>3.4052213393870545E-2</v>
      </c>
      <c r="C43" s="1"/>
      <c r="D43" s="11">
        <f t="shared" si="11"/>
        <v>3.0930760499432566</v>
      </c>
      <c r="E43" s="1"/>
      <c r="F43" s="11">
        <f>F7-G7</f>
        <v>9.9687854710556181</v>
      </c>
      <c r="G43" s="1"/>
      <c r="H43" s="11">
        <f t="shared" si="12"/>
        <v>-8.6804767309875146</v>
      </c>
      <c r="I43" s="1"/>
      <c r="J43" s="11">
        <f t="shared" si="13"/>
        <v>0.60726447219069257</v>
      </c>
      <c r="K43" s="1"/>
      <c r="L43" s="11">
        <f t="shared" si="14"/>
        <v>-1.4954597048808012</v>
      </c>
      <c r="M43" s="1"/>
      <c r="N43" s="11">
        <f t="shared" si="15"/>
        <v>-0.9733257661747956</v>
      </c>
      <c r="O43" s="1"/>
      <c r="P43" s="11">
        <f t="shared" si="16"/>
        <v>1.6685584562996638</v>
      </c>
      <c r="Q43" s="1"/>
      <c r="R43" s="11">
        <f t="shared" si="17"/>
        <v>-1.5465380249716105</v>
      </c>
      <c r="S43" s="11">
        <f t="shared" si="18"/>
        <v>-2.6787741203178257</v>
      </c>
      <c r="T43" s="1"/>
      <c r="U43" s="11">
        <f t="shared" si="19"/>
        <v>3.8024971623155466</v>
      </c>
      <c r="V43" s="11">
        <f t="shared" si="20"/>
        <v>1.7026106696935273</v>
      </c>
      <c r="W43" s="1"/>
      <c r="X43" s="11">
        <f t="shared" si="21"/>
        <v>-0.19863791146424603</v>
      </c>
      <c r="Y43" s="11"/>
      <c r="Z43" s="1"/>
      <c r="AA43" s="11">
        <f t="shared" si="22"/>
        <v>2.1339387060158828</v>
      </c>
      <c r="AB43" s="1"/>
      <c r="AC43" s="11">
        <f t="shared" si="23"/>
        <v>-3.8933030646991966</v>
      </c>
      <c r="AD43" s="1"/>
      <c r="AE43" s="11">
        <f t="shared" si="24"/>
        <v>-2.0317820658342782</v>
      </c>
      <c r="AF43" s="1"/>
      <c r="AG43" s="11">
        <f t="shared" si="25"/>
        <v>-0.93643586833144354</v>
      </c>
      <c r="AH43" s="1"/>
      <c r="AI43" s="11">
        <f t="shared" si="26"/>
        <v>0.88535754824063417</v>
      </c>
      <c r="AJ43" s="1"/>
      <c r="AK43" s="11">
        <f t="shared" si="27"/>
        <v>0.58456299659478361</v>
      </c>
      <c r="AL43" s="11">
        <f t="shared" si="28"/>
        <v>-3.0363223609534487</v>
      </c>
      <c r="AM43" s="1"/>
      <c r="AN43" s="11">
        <f t="shared" si="29"/>
        <v>-2.1169125993189368</v>
      </c>
      <c r="AO43" s="1"/>
      <c r="AP43" s="11">
        <f t="shared" si="30"/>
        <v>2.6106696935300775</v>
      </c>
      <c r="AQ43" s="1"/>
      <c r="AR43" s="11">
        <f t="shared" si="31"/>
        <v>-0.80306469920544998</v>
      </c>
      <c r="AS43" s="1"/>
      <c r="AT43" s="1"/>
    </row>
    <row r="44" spans="1:46">
      <c r="A44" s="2"/>
      <c r="B44" s="11">
        <f t="shared" si="10"/>
        <v>-32.10588235294118</v>
      </c>
      <c r="C44" s="1"/>
      <c r="D44" s="11">
        <f t="shared" si="11"/>
        <v>-0.49411764705882177</v>
      </c>
      <c r="E44" s="1"/>
      <c r="F44" s="11">
        <f>F8-G8</f>
        <v>0.34117647058822342</v>
      </c>
      <c r="G44" s="1"/>
      <c r="H44" s="11">
        <f t="shared" si="12"/>
        <v>-9.7529411764705785</v>
      </c>
      <c r="I44" s="1"/>
      <c r="J44" s="11">
        <f t="shared" si="13"/>
        <v>-2.1294117647058854</v>
      </c>
      <c r="K44" s="1"/>
      <c r="L44" s="11">
        <f t="shared" si="14"/>
        <v>3.235294117647058</v>
      </c>
      <c r="M44" s="1"/>
      <c r="N44" s="11">
        <f t="shared" si="15"/>
        <v>1.0470588235294116</v>
      </c>
      <c r="O44" s="1"/>
      <c r="P44" s="11">
        <f t="shared" si="16"/>
        <v>6.352941176470587</v>
      </c>
      <c r="Q44" s="1"/>
      <c r="R44" s="11">
        <f t="shared" si="17"/>
        <v>-5.4235294117647115</v>
      </c>
      <c r="S44" s="11">
        <f t="shared" si="18"/>
        <v>-11.352941176470587</v>
      </c>
      <c r="T44" s="1"/>
      <c r="U44" s="11">
        <f t="shared" si="19"/>
        <v>0.48235294117647953</v>
      </c>
      <c r="V44" s="11">
        <f t="shared" si="20"/>
        <v>-1.7176470588235233</v>
      </c>
      <c r="W44" s="1"/>
      <c r="X44" s="11">
        <f t="shared" si="21"/>
        <v>-4.117647058823529</v>
      </c>
      <c r="Y44" s="11"/>
      <c r="Z44" s="1"/>
      <c r="AA44" s="11">
        <f t="shared" si="22"/>
        <v>-7.1411764705882348</v>
      </c>
      <c r="AB44" s="1"/>
      <c r="AC44" s="11">
        <f t="shared" si="23"/>
        <v>-5.4117647058823515</v>
      </c>
      <c r="AD44" s="1"/>
      <c r="AE44" s="11">
        <f t="shared" si="24"/>
        <v>-3.1411764705882277</v>
      </c>
      <c r="AF44" s="1"/>
      <c r="AG44" s="11">
        <f t="shared" si="25"/>
        <v>-1.5529411764705827</v>
      </c>
      <c r="AH44" s="1"/>
      <c r="AI44" s="11">
        <f t="shared" si="26"/>
        <v>7.0588235294117396E-2</v>
      </c>
      <c r="AJ44" s="1"/>
      <c r="AK44" s="11">
        <f t="shared" si="27"/>
        <v>-1.4117647058823479</v>
      </c>
      <c r="AL44" s="11">
        <f t="shared" si="28"/>
        <v>-30.352941176470587</v>
      </c>
      <c r="AM44" s="1"/>
      <c r="AN44" s="11">
        <f t="shared" si="29"/>
        <v>-7.0941176470588232</v>
      </c>
      <c r="AO44" s="1"/>
      <c r="AP44" s="11">
        <f t="shared" si="30"/>
        <v>3.1764705882352899</v>
      </c>
      <c r="AQ44" s="1"/>
      <c r="AR44" s="11">
        <f t="shared" si="31"/>
        <v>8.2470588235294215</v>
      </c>
      <c r="AS44" s="1"/>
      <c r="AT44" s="1"/>
    </row>
    <row r="45" spans="1:46">
      <c r="A45" s="2"/>
      <c r="B45" s="11">
        <f t="shared" si="10"/>
        <v>0</v>
      </c>
      <c r="C45" s="1"/>
      <c r="D45" s="11">
        <f t="shared" si="11"/>
        <v>0</v>
      </c>
      <c r="E45" s="1"/>
      <c r="F45" s="11">
        <f>F9-G9</f>
        <v>-5.6585365853658658</v>
      </c>
      <c r="G45" s="1"/>
      <c r="H45" s="11">
        <f t="shared" si="12"/>
        <v>-0.48780487804879158</v>
      </c>
      <c r="I45" s="1"/>
      <c r="J45" s="11">
        <f t="shared" si="13"/>
        <v>-3.8536585365853711</v>
      </c>
      <c r="K45" s="1"/>
      <c r="L45" s="11">
        <f t="shared" si="14"/>
        <v>-1.4634146341463463</v>
      </c>
      <c r="M45" s="1"/>
      <c r="N45" s="11">
        <f t="shared" si="15"/>
        <v>-2.4390243902439011</v>
      </c>
      <c r="O45" s="1"/>
      <c r="P45" s="11">
        <f t="shared" si="16"/>
        <v>-1.9024390243902474</v>
      </c>
      <c r="Q45" s="1"/>
      <c r="R45" s="11">
        <f t="shared" si="17"/>
        <v>-5.9024390243902474</v>
      </c>
      <c r="S45" s="11">
        <f t="shared" si="18"/>
        <v>-9.41463414634147</v>
      </c>
      <c r="T45" s="1"/>
      <c r="U45" s="11">
        <f t="shared" si="19"/>
        <v>-0.82926829268292579</v>
      </c>
      <c r="V45" s="11">
        <f t="shared" si="20"/>
        <v>-0.92682926829267842</v>
      </c>
      <c r="W45" s="1"/>
      <c r="X45" s="11">
        <f t="shared" si="21"/>
        <v>-1.9512195121951237</v>
      </c>
      <c r="Y45" s="11"/>
      <c r="Z45" s="1"/>
      <c r="AA45" s="11">
        <f t="shared" si="22"/>
        <v>-1.3658536585366079</v>
      </c>
      <c r="AB45" s="1"/>
      <c r="AC45" s="11">
        <f t="shared" si="23"/>
        <v>-4.3414634146341484</v>
      </c>
      <c r="AD45" s="1"/>
      <c r="AE45" s="11">
        <f t="shared" si="24"/>
        <v>-7.3170731707317174</v>
      </c>
      <c r="AF45" s="1"/>
      <c r="AG45" s="11">
        <f t="shared" si="25"/>
        <v>-1.41463414634147</v>
      </c>
      <c r="AH45" s="1"/>
      <c r="AI45" s="11">
        <f t="shared" si="26"/>
        <v>2.9268292682926926</v>
      </c>
      <c r="AJ45" s="1"/>
      <c r="AK45" s="11">
        <f t="shared" si="27"/>
        <v>-1.8048780487804947</v>
      </c>
      <c r="AL45" s="11">
        <f t="shared" si="28"/>
        <v>-42.439024390243908</v>
      </c>
      <c r="AM45" s="1"/>
      <c r="AN45" s="11">
        <f t="shared" si="29"/>
        <v>-2.4390243902439011</v>
      </c>
      <c r="AO45" s="1"/>
      <c r="AP45" s="11">
        <f t="shared" si="30"/>
        <v>-0.97560975609756895</v>
      </c>
      <c r="AQ45" s="1"/>
      <c r="AR45" s="11">
        <f t="shared" si="31"/>
        <v>-1.9512195121951237</v>
      </c>
      <c r="AS45" s="1"/>
      <c r="AT45" s="1"/>
    </row>
    <row r="46" spans="1:46">
      <c r="B46" s="11">
        <f t="shared" si="10"/>
        <v>-1.0540540540540349</v>
      </c>
      <c r="C46" s="11"/>
      <c r="D46" s="11">
        <f t="shared" si="11"/>
        <v>12.405405405405389</v>
      </c>
      <c r="E46" s="11"/>
      <c r="F46" s="11"/>
      <c r="G46" s="11"/>
      <c r="H46" s="11">
        <f t="shared" si="12"/>
        <v>-2.7027027027031636E-2</v>
      </c>
      <c r="I46" s="11"/>
      <c r="J46" s="11">
        <f t="shared" si="13"/>
        <v>-0.56756756756757909</v>
      </c>
      <c r="K46" s="11"/>
      <c r="L46" s="11">
        <f t="shared" si="14"/>
        <v>1.3513513513513544</v>
      </c>
      <c r="M46" s="11"/>
      <c r="N46" s="11">
        <f t="shared" si="15"/>
        <v>-0.56756756756757909</v>
      </c>
      <c r="O46" s="11"/>
      <c r="P46" s="11">
        <f t="shared" si="16"/>
        <v>-1.6486486486486456</v>
      </c>
      <c r="Q46" s="11"/>
      <c r="R46" s="11">
        <f t="shared" si="17"/>
        <v>-0.24324324324322788</v>
      </c>
      <c r="S46" s="11">
        <f t="shared" si="18"/>
        <v>-0.81081081081080697</v>
      </c>
      <c r="T46" s="11"/>
      <c r="U46" s="11">
        <f t="shared" si="19"/>
        <v>0.16216216216216139</v>
      </c>
      <c r="V46" s="11">
        <f t="shared" si="20"/>
        <v>-0.54054054054054745</v>
      </c>
      <c r="W46" s="11"/>
      <c r="X46" s="11">
        <f t="shared" si="21"/>
        <v>0.27027027027027373</v>
      </c>
      <c r="Y46" s="11"/>
      <c r="Z46" s="11"/>
      <c r="AA46" s="11">
        <f t="shared" si="22"/>
        <v>-1.2972972972973054</v>
      </c>
      <c r="AB46" s="11"/>
      <c r="AC46" s="11">
        <f t="shared" si="23"/>
        <v>0.83783783783785282</v>
      </c>
      <c r="AD46" s="11"/>
      <c r="AE46" s="11">
        <f t="shared" si="24"/>
        <v>-2.4864864864864984</v>
      </c>
      <c r="AF46" s="11"/>
      <c r="AG46" s="11">
        <f t="shared" si="25"/>
        <v>0.72972972972972627</v>
      </c>
      <c r="AH46" s="11"/>
      <c r="AI46" s="11">
        <f t="shared" si="26"/>
        <v>1.6216216216216282</v>
      </c>
      <c r="AJ46" s="11"/>
      <c r="AK46" s="11">
        <f t="shared" si="27"/>
        <v>0.48648648648649839</v>
      </c>
      <c r="AL46" s="11">
        <f t="shared" si="28"/>
        <v>0</v>
      </c>
      <c r="AM46" s="11"/>
      <c r="AN46" s="11">
        <f t="shared" si="29"/>
        <v>-1.5135135135135158</v>
      </c>
      <c r="AO46" s="11"/>
      <c r="AP46" s="11">
        <f t="shared" si="30"/>
        <v>-0.54054054054053324</v>
      </c>
      <c r="AQ46" s="11"/>
      <c r="AR46" s="11">
        <f t="shared" si="31"/>
        <v>-1.3783783783783861</v>
      </c>
      <c r="AS46" s="11"/>
      <c r="AT46" s="11"/>
    </row>
    <row r="47" spans="1:46">
      <c r="B47" s="11">
        <f t="shared" si="10"/>
        <v>0</v>
      </c>
      <c r="D47" s="11">
        <f t="shared" si="11"/>
        <v>-9.3063583815028892</v>
      </c>
      <c r="F47" s="11">
        <f>F11-G11</f>
        <v>2.1387283236994108</v>
      </c>
      <c r="H47" s="11">
        <f t="shared" si="12"/>
        <v>-17.97687861271676</v>
      </c>
      <c r="J47" s="11">
        <f t="shared" si="13"/>
        <v>-5.1445086705202385</v>
      </c>
      <c r="L47" s="11">
        <f t="shared" si="14"/>
        <v>-0.57803468208092568</v>
      </c>
      <c r="N47" s="11">
        <f t="shared" si="15"/>
        <v>0.52023121387283311</v>
      </c>
      <c r="P47" s="11">
        <f t="shared" si="16"/>
        <v>-1.1560693641618514</v>
      </c>
      <c r="R47" s="11">
        <f t="shared" si="17"/>
        <v>1.734104046242777</v>
      </c>
      <c r="S47" s="11">
        <f t="shared" si="18"/>
        <v>0.28901734104046284</v>
      </c>
      <c r="U47" s="11">
        <f t="shared" si="19"/>
        <v>2.3699421965317953</v>
      </c>
      <c r="V47" s="11">
        <f t="shared" si="20"/>
        <v>-3.5260115606936324</v>
      </c>
      <c r="X47" s="11">
        <f t="shared" si="21"/>
        <v>-5.2023121387283311</v>
      </c>
      <c r="Y47" s="11"/>
      <c r="AA47" s="11">
        <f t="shared" si="22"/>
        <v>1.9653179190751473</v>
      </c>
      <c r="AC47" s="11">
        <f t="shared" si="23"/>
        <v>-8.0924855491329453</v>
      </c>
      <c r="AE47" s="11">
        <f t="shared" si="24"/>
        <v>-1.849710982658948</v>
      </c>
      <c r="AG47" s="11">
        <f t="shared" si="25"/>
        <v>-3.6994219653179243</v>
      </c>
      <c r="AI47" s="11">
        <f t="shared" si="26"/>
        <v>0.28901734104046284</v>
      </c>
      <c r="AK47" s="11">
        <f t="shared" si="27"/>
        <v>-0.52023121387283311</v>
      </c>
      <c r="AL47" s="11">
        <f t="shared" si="28"/>
        <v>-1.1560693641618514</v>
      </c>
      <c r="AN47" s="11">
        <f t="shared" si="29"/>
        <v>-3.4104046242774615</v>
      </c>
      <c r="AP47" s="11">
        <f t="shared" si="30"/>
        <v>2.3121387283237027</v>
      </c>
      <c r="AR47" s="11">
        <f t="shared" si="31"/>
        <v>0</v>
      </c>
    </row>
    <row r="48" spans="1:46">
      <c r="B48" s="11">
        <f t="shared" si="10"/>
        <v>0.23890784982934576</v>
      </c>
      <c r="D48" s="11">
        <f t="shared" si="11"/>
        <v>5.11945392491468</v>
      </c>
      <c r="F48" s="11">
        <f>F12-G12</f>
        <v>-1.1945392491467715</v>
      </c>
      <c r="H48" s="11">
        <f t="shared" si="12"/>
        <v>0</v>
      </c>
      <c r="J48" s="11">
        <f t="shared" si="13"/>
        <v>0.30716723549488734</v>
      </c>
      <c r="L48" s="11">
        <f t="shared" si="14"/>
        <v>-4.436860068259378</v>
      </c>
      <c r="N48" s="11">
        <f t="shared" si="15"/>
        <v>-3.0375426621160244</v>
      </c>
      <c r="P48" s="11">
        <f t="shared" si="16"/>
        <v>12.866894197952206</v>
      </c>
      <c r="R48" s="11">
        <f t="shared" si="17"/>
        <v>-0.34129692832765102</v>
      </c>
      <c r="S48" s="11">
        <f t="shared" si="18"/>
        <v>-14.709897610921502</v>
      </c>
      <c r="U48" s="11">
        <f t="shared" si="19"/>
        <v>-0.10238907849829104</v>
      </c>
      <c r="V48" s="11">
        <f t="shared" si="20"/>
        <v>-0.71672354948806571</v>
      </c>
      <c r="X48" s="11">
        <f t="shared" si="21"/>
        <v>2.0477815699658635</v>
      </c>
      <c r="Y48" s="11"/>
      <c r="AA48" s="11">
        <f t="shared" si="22"/>
        <v>0.95563139931739727</v>
      </c>
      <c r="AC48" s="11">
        <f t="shared" si="23"/>
        <v>13.617747440273035</v>
      </c>
      <c r="AE48" s="11">
        <f t="shared" si="24"/>
        <v>-2.5597269624573471</v>
      </c>
      <c r="AG48" s="11">
        <f t="shared" si="25"/>
        <v>-1.3651877133105756</v>
      </c>
      <c r="AI48" s="11">
        <f t="shared" si="26"/>
        <v>1.6382252559726851</v>
      </c>
      <c r="AK48" s="11">
        <f t="shared" si="27"/>
        <v>3.4129692832777891E-2</v>
      </c>
      <c r="AL48" s="11">
        <f t="shared" si="28"/>
        <v>-1.7064846416382267</v>
      </c>
      <c r="AN48" s="11">
        <f t="shared" si="29"/>
        <v>-3.6518771331057849</v>
      </c>
      <c r="AP48" s="11">
        <f t="shared" si="30"/>
        <v>2.0477815699658635</v>
      </c>
      <c r="AR48" s="11">
        <f t="shared" si="31"/>
        <v>-0.34129692832765102</v>
      </c>
    </row>
    <row r="49" spans="1:44">
      <c r="B49" s="11">
        <f t="shared" si="10"/>
        <v>0</v>
      </c>
      <c r="D49" s="11">
        <f t="shared" si="11"/>
        <v>-1.1111111111111143</v>
      </c>
      <c r="F49" s="11">
        <f>F13-G13</f>
        <v>-3.9999999999999929</v>
      </c>
      <c r="H49" s="11">
        <f t="shared" si="12"/>
        <v>0</v>
      </c>
      <c r="J49" s="11">
        <f t="shared" si="13"/>
        <v>1.7222222222222143</v>
      </c>
      <c r="L49" s="11">
        <f t="shared" si="14"/>
        <v>-5.55555555555555</v>
      </c>
      <c r="N49" s="11">
        <f t="shared" si="15"/>
        <v>-8.3333333333333357</v>
      </c>
      <c r="P49" s="11">
        <f t="shared" si="16"/>
        <v>-3.3333333333333286</v>
      </c>
      <c r="R49" s="11">
        <f t="shared" si="17"/>
        <v>-2.7777777777777786</v>
      </c>
      <c r="S49" s="11">
        <f t="shared" si="18"/>
        <v>-7.1666666666666714</v>
      </c>
      <c r="U49" s="11">
        <f t="shared" si="19"/>
        <v>0.27777777777777146</v>
      </c>
      <c r="V49" s="11">
        <f t="shared" si="20"/>
        <v>1.7222222222222214</v>
      </c>
      <c r="X49" s="11">
        <f t="shared" si="21"/>
        <v>-2.2222222222222143</v>
      </c>
      <c r="Y49" s="11"/>
      <c r="AA49" s="11">
        <f t="shared" si="22"/>
        <v>5.0555555555555642</v>
      </c>
      <c r="AC49" s="11">
        <f t="shared" si="23"/>
        <v>-5.0555555555555571</v>
      </c>
      <c r="AE49" s="11">
        <f t="shared" si="24"/>
        <v>-4.9999999999999929</v>
      </c>
      <c r="AG49" s="11">
        <f t="shared" si="25"/>
        <v>-3.3888888888888857</v>
      </c>
      <c r="AI49" s="11">
        <f t="shared" si="26"/>
        <v>-3.8888888888888999</v>
      </c>
      <c r="AK49" s="11">
        <f t="shared" si="27"/>
        <v>-1.1666666666666572</v>
      </c>
      <c r="AL49" s="11">
        <f t="shared" si="28"/>
        <v>-8.8888888888888786</v>
      </c>
      <c r="AN49" s="11">
        <f t="shared" si="29"/>
        <v>-4.5000000000000071</v>
      </c>
      <c r="AP49" s="11">
        <f t="shared" si="30"/>
        <v>-0.55555555555556424</v>
      </c>
      <c r="AR49" s="11">
        <f t="shared" si="31"/>
        <v>4.4999999999999929</v>
      </c>
    </row>
    <row r="50" spans="1:44">
      <c r="B50" s="11">
        <f t="shared" si="10"/>
        <v>-0.92769440654844004</v>
      </c>
      <c r="D50" s="11">
        <f t="shared" si="11"/>
        <v>-2.7285129604365466E-2</v>
      </c>
      <c r="F50" s="11"/>
      <c r="H50" s="11">
        <f t="shared" si="12"/>
        <v>-0.23647112323783404</v>
      </c>
      <c r="J50" s="11">
        <f t="shared" si="13"/>
        <v>0.25466120964075856</v>
      </c>
      <c r="L50" s="11">
        <f t="shared" si="14"/>
        <v>-0.27285129604365466</v>
      </c>
      <c r="N50" s="11">
        <f t="shared" si="15"/>
        <v>1.7735334242837695</v>
      </c>
      <c r="P50" s="11">
        <f t="shared" si="16"/>
        <v>-2.0554797635288793</v>
      </c>
      <c r="R50" s="11">
        <f t="shared" si="17"/>
        <v>-0.54570259208730931</v>
      </c>
      <c r="S50" s="11">
        <f t="shared" si="18"/>
        <v>-1.186903137789912</v>
      </c>
      <c r="U50" s="11">
        <f t="shared" si="19"/>
        <v>-0.80036380172805366</v>
      </c>
      <c r="V50" s="11">
        <f t="shared" si="20"/>
        <v>-1.4006366530241081</v>
      </c>
      <c r="X50" s="11">
        <f t="shared" si="21"/>
        <v>1.864483856298321</v>
      </c>
      <c r="Y50" s="11"/>
      <c r="AA50" s="11">
        <f t="shared" si="22"/>
        <v>0.25466120964074435</v>
      </c>
      <c r="AC50" s="11">
        <f t="shared" si="23"/>
        <v>0.54570259208730931</v>
      </c>
      <c r="AE50" s="11">
        <f t="shared" si="24"/>
        <v>1.0004547521600671</v>
      </c>
      <c r="AG50" s="11">
        <f t="shared" si="25"/>
        <v>-0.96407457935423224</v>
      </c>
      <c r="AI50" s="11">
        <f t="shared" si="26"/>
        <v>0.86402910413825396</v>
      </c>
      <c r="AK50" s="11">
        <f t="shared" si="27"/>
        <v>-0.39108685766257167</v>
      </c>
      <c r="AL50" s="11">
        <f t="shared" si="28"/>
        <v>-0.22737608003637888</v>
      </c>
      <c r="AN50" s="11">
        <f t="shared" si="29"/>
        <v>-3.3196907685311601</v>
      </c>
      <c r="AP50" s="11">
        <f t="shared" si="30"/>
        <v>-4.5475216007275776E-2</v>
      </c>
      <c r="AR50" s="11">
        <f t="shared" si="31"/>
        <v>3.1832651205093327</v>
      </c>
    </row>
    <row r="51" spans="1:44">
      <c r="B51" s="11">
        <f t="shared" si="10"/>
        <v>0</v>
      </c>
      <c r="D51" s="11">
        <f t="shared" si="11"/>
        <v>0.34375</v>
      </c>
      <c r="F51" s="11">
        <f>F15-G15</f>
        <v>0.81250000000001421</v>
      </c>
      <c r="H51" s="11">
        <f t="shared" si="12"/>
        <v>-3.4687500000000142</v>
      </c>
      <c r="J51" s="11">
        <f t="shared" si="13"/>
        <v>3.1250000000014211E-2</v>
      </c>
      <c r="L51" s="11">
        <f t="shared" si="14"/>
        <v>-0.71875</v>
      </c>
      <c r="N51" s="11">
        <f t="shared" si="15"/>
        <v>-8.75</v>
      </c>
      <c r="P51" s="11">
        <f t="shared" si="16"/>
        <v>-0.81250000000001421</v>
      </c>
      <c r="R51" s="11">
        <f t="shared" si="17"/>
        <v>-3.125</v>
      </c>
      <c r="S51" s="11">
        <f t="shared" si="18"/>
        <v>-5.3125</v>
      </c>
      <c r="U51" s="11">
        <f t="shared" si="19"/>
        <v>-1.75</v>
      </c>
      <c r="V51" s="11">
        <f t="shared" si="20"/>
        <v>-2.53125</v>
      </c>
      <c r="X51" s="11">
        <f t="shared" si="21"/>
        <v>-3.125</v>
      </c>
      <c r="Y51" s="11"/>
      <c r="AA51" s="11">
        <f t="shared" si="22"/>
        <v>-2.4375</v>
      </c>
      <c r="AC51" s="11">
        <f t="shared" si="23"/>
        <v>5.625</v>
      </c>
      <c r="AE51" s="11">
        <f t="shared" si="24"/>
        <v>-4.6875</v>
      </c>
      <c r="AG51" s="11">
        <f t="shared" si="25"/>
        <v>-3.125</v>
      </c>
      <c r="AI51" s="11">
        <f t="shared" si="26"/>
        <v>-3.5625</v>
      </c>
      <c r="AK51" s="11">
        <f t="shared" si="27"/>
        <v>-0.96875</v>
      </c>
      <c r="AL51" s="11">
        <f t="shared" si="28"/>
        <v>-4.6875</v>
      </c>
      <c r="AN51" s="11">
        <f t="shared" si="29"/>
        <v>-4.09375</v>
      </c>
      <c r="AP51" s="11">
        <f t="shared" si="30"/>
        <v>3.4375</v>
      </c>
      <c r="AR51" s="11">
        <f t="shared" si="31"/>
        <v>-1.5</v>
      </c>
    </row>
    <row r="52" spans="1:44">
      <c r="A52" s="8"/>
      <c r="B52" s="11"/>
      <c r="D52" s="11">
        <f t="shared" si="11"/>
        <v>0</v>
      </c>
      <c r="F52" s="11">
        <f>F16-G16</f>
        <v>0.23333333333333428</v>
      </c>
      <c r="H52" s="11">
        <f t="shared" si="12"/>
        <v>-0.3333333333333286</v>
      </c>
      <c r="J52" s="11">
        <f t="shared" si="13"/>
        <v>0</v>
      </c>
      <c r="L52" s="11">
        <f t="shared" si="14"/>
        <v>-0.3333333333333286</v>
      </c>
      <c r="N52" s="11"/>
      <c r="P52" s="11"/>
      <c r="R52" s="11"/>
      <c r="S52" s="11">
        <f t="shared" si="18"/>
        <v>-2.5</v>
      </c>
      <c r="U52" s="11"/>
      <c r="V52" s="11"/>
      <c r="X52" s="11">
        <f t="shared" si="21"/>
        <v>-0.3333333333333286</v>
      </c>
      <c r="Y52" s="11"/>
      <c r="AA52" s="11"/>
      <c r="AC52" s="11"/>
      <c r="AE52" s="11"/>
      <c r="AG52" s="11">
        <f t="shared" si="25"/>
        <v>-0.6666666666666714</v>
      </c>
      <c r="AI52" s="11">
        <f t="shared" si="26"/>
        <v>-1</v>
      </c>
      <c r="AK52" s="11"/>
      <c r="AL52" s="11">
        <f t="shared" si="28"/>
        <v>-5.3333333333333428</v>
      </c>
      <c r="AN52" s="11"/>
      <c r="AP52" s="11">
        <f t="shared" si="30"/>
        <v>0.6666666666666714</v>
      </c>
      <c r="AR52" s="11">
        <f t="shared" si="31"/>
        <v>-2.3333333333333286</v>
      </c>
    </row>
    <row r="53" spans="1:44">
      <c r="A53" s="8"/>
      <c r="B53" s="11"/>
      <c r="D53" s="11">
        <f t="shared" si="11"/>
        <v>13.333333333333332</v>
      </c>
      <c r="F53" s="11">
        <f>F17-G17</f>
        <v>8.0000000000000036</v>
      </c>
      <c r="H53" s="11">
        <f t="shared" si="12"/>
        <v>-13.333333333333334</v>
      </c>
      <c r="J53" s="11">
        <f t="shared" si="13"/>
        <v>0</v>
      </c>
      <c r="L53" s="11">
        <f t="shared" si="14"/>
        <v>-6.6666666666666714</v>
      </c>
      <c r="N53" s="11"/>
      <c r="P53" s="11"/>
      <c r="R53" s="11"/>
      <c r="S53" s="11">
        <f t="shared" si="18"/>
        <v>-33.333333333333329</v>
      </c>
      <c r="U53" s="11"/>
      <c r="V53" s="11"/>
      <c r="X53" s="11">
        <f t="shared" si="21"/>
        <v>-26.666666666666657</v>
      </c>
      <c r="Y53" s="11"/>
      <c r="AA53" s="11"/>
      <c r="AC53" s="11"/>
      <c r="AE53" s="11"/>
      <c r="AG53" s="11">
        <f t="shared" si="25"/>
        <v>-26.666666666666664</v>
      </c>
      <c r="AI53" s="11">
        <f t="shared" si="26"/>
        <v>-26.666666666666664</v>
      </c>
      <c r="AK53" s="11"/>
      <c r="AL53" s="11">
        <f t="shared" si="28"/>
        <v>-33.333333333333329</v>
      </c>
      <c r="AN53" s="11"/>
      <c r="AP53" s="11">
        <f t="shared" si="30"/>
        <v>-13.333333333333336</v>
      </c>
      <c r="AR53" s="11">
        <f t="shared" si="31"/>
        <v>0.6666666666666714</v>
      </c>
    </row>
    <row r="54" spans="1:44">
      <c r="A54" s="8"/>
      <c r="B54" s="11"/>
      <c r="D54" s="11">
        <f t="shared" si="11"/>
        <v>0</v>
      </c>
      <c r="F54" s="11">
        <f>F18-G18</f>
        <v>-1</v>
      </c>
      <c r="H54" s="11">
        <f t="shared" si="12"/>
        <v>0</v>
      </c>
      <c r="J54" s="11">
        <f t="shared" si="13"/>
        <v>0</v>
      </c>
      <c r="L54" s="11">
        <f t="shared" si="14"/>
        <v>-2.5</v>
      </c>
      <c r="N54" s="11"/>
      <c r="P54" s="11"/>
      <c r="R54" s="11"/>
      <c r="S54" s="11">
        <f t="shared" si="18"/>
        <v>0</v>
      </c>
      <c r="U54" s="11"/>
      <c r="V54" s="11"/>
      <c r="X54" s="11">
        <f t="shared" si="21"/>
        <v>0</v>
      </c>
      <c r="Y54" s="11"/>
      <c r="AA54" s="11"/>
      <c r="AC54" s="11"/>
      <c r="AE54" s="11"/>
      <c r="AG54" s="11">
        <f t="shared" si="25"/>
        <v>-10</v>
      </c>
      <c r="AI54" s="11">
        <f t="shared" si="26"/>
        <v>7.5</v>
      </c>
      <c r="AK54" s="11"/>
      <c r="AL54" s="11">
        <f t="shared" si="28"/>
        <v>-7.5</v>
      </c>
      <c r="AN54" s="11"/>
      <c r="AP54" s="11">
        <f t="shared" si="30"/>
        <v>0</v>
      </c>
      <c r="AR54" s="11">
        <f t="shared" si="31"/>
        <v>0</v>
      </c>
    </row>
    <row r="55" spans="1:44">
      <c r="A55" s="8"/>
      <c r="B55" s="11"/>
      <c r="D55" s="11">
        <f t="shared" si="11"/>
        <v>-0.55013927576602839</v>
      </c>
      <c r="F55" s="11"/>
      <c r="H55" s="11">
        <f t="shared" si="12"/>
        <v>-0.56406685236767373</v>
      </c>
      <c r="J55" s="11">
        <f t="shared" si="13"/>
        <v>-0.17409470752089362</v>
      </c>
      <c r="L55" s="11">
        <f t="shared" si="14"/>
        <v>-0.77298050139275176</v>
      </c>
      <c r="N55" s="11"/>
      <c r="P55" s="11"/>
      <c r="R55" s="11"/>
      <c r="S55" s="11">
        <f t="shared" si="18"/>
        <v>-0.76601671309191488</v>
      </c>
      <c r="U55" s="11"/>
      <c r="V55" s="11"/>
      <c r="X55" s="11"/>
      <c r="Y55" s="11">
        <f>Y19-Z19</f>
        <v>-0.41782729805014185</v>
      </c>
      <c r="AA55" s="11"/>
      <c r="AC55" s="11"/>
      <c r="AE55" s="11"/>
      <c r="AG55" s="11">
        <f t="shared" si="25"/>
        <v>-0.62674094707520567</v>
      </c>
      <c r="AI55" s="11">
        <f t="shared" si="26"/>
        <v>-1.0515320334261844</v>
      </c>
      <c r="AK55" s="11"/>
      <c r="AL55" s="11">
        <f t="shared" si="28"/>
        <v>-1.1142061281337021</v>
      </c>
      <c r="AN55" s="11"/>
      <c r="AP55" s="11">
        <f t="shared" si="30"/>
        <v>0</v>
      </c>
      <c r="AR55" s="11">
        <f t="shared" si="31"/>
        <v>-0.51532033426184398</v>
      </c>
    </row>
    <row r="56" spans="1:44">
      <c r="A56" s="8"/>
      <c r="B56" s="11"/>
      <c r="D56" s="11">
        <f t="shared" si="11"/>
        <v>-1.3888888888888857</v>
      </c>
      <c r="F56" s="11">
        <f t="shared" ref="F56:F62" si="32">F20-G20</f>
        <v>0</v>
      </c>
      <c r="H56" s="11">
        <f t="shared" si="12"/>
        <v>-1.3888888888888857</v>
      </c>
      <c r="J56" s="11">
        <f t="shared" si="13"/>
        <v>0</v>
      </c>
      <c r="L56" s="11">
        <f t="shared" si="14"/>
        <v>0</v>
      </c>
      <c r="N56" s="11"/>
      <c r="P56" s="11"/>
      <c r="R56" s="11"/>
      <c r="S56" s="11">
        <f t="shared" si="18"/>
        <v>-9.7222222222222143</v>
      </c>
      <c r="U56" s="11"/>
      <c r="V56" s="11"/>
      <c r="X56" s="11">
        <f>X20-Z20</f>
        <v>6.9444444444444571</v>
      </c>
      <c r="Y56" s="11"/>
      <c r="AA56" s="11"/>
      <c r="AC56" s="11"/>
      <c r="AE56" s="11"/>
      <c r="AG56" s="11">
        <f t="shared" si="25"/>
        <v>-12.5</v>
      </c>
      <c r="AI56" s="11">
        <f t="shared" si="26"/>
        <v>-12.5</v>
      </c>
      <c r="AK56" s="11"/>
      <c r="AL56" s="11">
        <f t="shared" si="28"/>
        <v>-88.888888888888886</v>
      </c>
      <c r="AN56" s="11"/>
      <c r="AP56" s="11">
        <f t="shared" si="30"/>
        <v>0</v>
      </c>
      <c r="AR56" s="11">
        <f t="shared" si="31"/>
        <v>-1.3888888888888857</v>
      </c>
    </row>
    <row r="57" spans="1:44">
      <c r="A57" s="8"/>
      <c r="B57" s="11"/>
      <c r="D57" s="11">
        <f t="shared" si="11"/>
        <v>0</v>
      </c>
      <c r="F57" s="11">
        <f t="shared" si="32"/>
        <v>-20.200000000000003</v>
      </c>
      <c r="H57" s="11">
        <f t="shared" si="12"/>
        <v>0</v>
      </c>
      <c r="J57" s="11">
        <f t="shared" si="13"/>
        <v>4</v>
      </c>
      <c r="L57" s="11">
        <f t="shared" si="14"/>
        <v>-4</v>
      </c>
      <c r="N57" s="11"/>
      <c r="P57" s="11"/>
      <c r="R57" s="11"/>
      <c r="S57" s="11">
        <f t="shared" si="18"/>
        <v>-11.999999999999993</v>
      </c>
      <c r="U57" s="11"/>
      <c r="V57" s="11"/>
      <c r="X57" s="11"/>
      <c r="Y57" s="11">
        <f>Y21-Z21</f>
        <v>-50</v>
      </c>
      <c r="AA57" s="11"/>
      <c r="AC57" s="11"/>
      <c r="AE57" s="11"/>
      <c r="AG57" s="11">
        <f t="shared" si="25"/>
        <v>-28</v>
      </c>
      <c r="AI57" s="11">
        <f t="shared" si="26"/>
        <v>-16</v>
      </c>
      <c r="AK57" s="11"/>
      <c r="AL57" s="11">
        <f t="shared" si="28"/>
        <v>-16</v>
      </c>
      <c r="AN57" s="11"/>
      <c r="AP57" s="11">
        <f t="shared" si="30"/>
        <v>-8</v>
      </c>
      <c r="AR57" s="11">
        <f t="shared" si="31"/>
        <v>12</v>
      </c>
    </row>
    <row r="58" spans="1:44">
      <c r="A58" s="8"/>
      <c r="B58" s="11"/>
      <c r="D58" s="11">
        <f t="shared" si="11"/>
        <v>-12.977099236641223</v>
      </c>
      <c r="F58" s="11">
        <f t="shared" si="32"/>
        <v>-8.2442748091603022</v>
      </c>
      <c r="H58" s="11">
        <f t="shared" si="12"/>
        <v>0</v>
      </c>
      <c r="J58" s="11">
        <f t="shared" si="13"/>
        <v>-2.2900763358778562</v>
      </c>
      <c r="L58" s="11">
        <f t="shared" si="14"/>
        <v>-1.5267175572519065</v>
      </c>
      <c r="N58" s="11"/>
      <c r="P58" s="11"/>
      <c r="R58" s="11"/>
      <c r="S58" s="11">
        <f t="shared" si="18"/>
        <v>-4.5801526717557195</v>
      </c>
      <c r="U58" s="11"/>
      <c r="V58" s="11"/>
      <c r="X58" s="11"/>
      <c r="Y58" s="11">
        <f>Y22-Z22</f>
        <v>-40.458015267175583</v>
      </c>
      <c r="AA58" s="11"/>
      <c r="AC58" s="11"/>
      <c r="AE58" s="11"/>
      <c r="AG58" s="11">
        <f t="shared" si="25"/>
        <v>-3.053435114503813</v>
      </c>
      <c r="AI58" s="11">
        <f t="shared" si="26"/>
        <v>-3.053435114503813</v>
      </c>
      <c r="AK58" s="11"/>
      <c r="AL58" s="11">
        <f t="shared" si="28"/>
        <v>-18.320610687022899</v>
      </c>
      <c r="AN58" s="11"/>
      <c r="AP58" s="11">
        <f t="shared" si="30"/>
        <v>1.5267175572519136</v>
      </c>
      <c r="AR58" s="11">
        <f t="shared" si="31"/>
        <v>-1.5267175572519136</v>
      </c>
    </row>
    <row r="59" spans="1:44">
      <c r="A59" s="8"/>
      <c r="B59" s="11"/>
      <c r="D59" s="11">
        <f t="shared" si="11"/>
        <v>-0.72463768115940752</v>
      </c>
      <c r="F59" s="11">
        <f t="shared" si="32"/>
        <v>-0.21739130434784215</v>
      </c>
      <c r="H59" s="11">
        <f t="shared" si="12"/>
        <v>0</v>
      </c>
      <c r="J59" s="11">
        <f t="shared" si="13"/>
        <v>0</v>
      </c>
      <c r="L59" s="11">
        <f t="shared" si="14"/>
        <v>-5.072463768115945</v>
      </c>
      <c r="N59" s="11"/>
      <c r="P59" s="11"/>
      <c r="R59" s="11"/>
      <c r="S59" s="11">
        <f t="shared" si="18"/>
        <v>-18.260869565217391</v>
      </c>
      <c r="U59" s="11"/>
      <c r="V59" s="11"/>
      <c r="X59" s="11">
        <f>X23-Z23</f>
        <v>-1.4492753623188293</v>
      </c>
      <c r="Y59" s="11"/>
      <c r="AA59" s="11"/>
      <c r="AC59" s="11"/>
      <c r="AE59" s="11"/>
      <c r="AG59" s="11">
        <f t="shared" si="25"/>
        <v>-22.463768115942031</v>
      </c>
      <c r="AI59" s="11">
        <f t="shared" si="26"/>
        <v>-32.608695652173921</v>
      </c>
      <c r="AK59" s="11"/>
      <c r="AL59" s="11">
        <f t="shared" si="28"/>
        <v>-4.3478260869565162</v>
      </c>
      <c r="AN59" s="11"/>
      <c r="AP59" s="11">
        <f t="shared" si="30"/>
        <v>1.4492753623188435</v>
      </c>
      <c r="AR59" s="11">
        <f t="shared" si="31"/>
        <v>-2.1739130434782652</v>
      </c>
    </row>
    <row r="60" spans="1:44">
      <c r="A60" s="8"/>
      <c r="B60" s="11"/>
      <c r="D60" s="11">
        <f t="shared" si="11"/>
        <v>-4.8148148148148096</v>
      </c>
      <c r="F60" s="11">
        <f t="shared" si="32"/>
        <v>-0.37037037037036669</v>
      </c>
      <c r="H60" s="11">
        <f t="shared" si="12"/>
        <v>-0.37037037037036669</v>
      </c>
      <c r="J60" s="11">
        <f t="shared" si="13"/>
        <v>-0.37037037037036669</v>
      </c>
      <c r="L60" s="11">
        <f t="shared" si="14"/>
        <v>-0.37037037037036669</v>
      </c>
      <c r="N60" s="11"/>
      <c r="P60" s="11"/>
      <c r="R60" s="11"/>
      <c r="S60" s="11">
        <f t="shared" si="18"/>
        <v>-1.481481481481481</v>
      </c>
      <c r="U60" s="11"/>
      <c r="V60" s="11"/>
      <c r="X60" s="11"/>
      <c r="Y60" s="11">
        <f>Y24-Z24</f>
        <v>5.5555555555555571</v>
      </c>
      <c r="AA60" s="11"/>
      <c r="AC60" s="11"/>
      <c r="AE60" s="11"/>
      <c r="AG60" s="11">
        <f t="shared" si="25"/>
        <v>-3.3333333333333286</v>
      </c>
      <c r="AI60" s="11">
        <f t="shared" si="26"/>
        <v>-4.0740740740740762</v>
      </c>
      <c r="AK60" s="11"/>
      <c r="AL60" s="11">
        <f t="shared" si="28"/>
        <v>-0.37037037037036669</v>
      </c>
      <c r="AN60" s="11"/>
      <c r="AP60" s="11">
        <f t="shared" si="30"/>
        <v>7.407407407407419</v>
      </c>
      <c r="AR60" s="11">
        <f t="shared" si="31"/>
        <v>-5.518518518518519</v>
      </c>
    </row>
    <row r="61" spans="1:44">
      <c r="A61" s="8"/>
      <c r="B61" s="11"/>
      <c r="D61" s="11">
        <f t="shared" si="11"/>
        <v>4.0000000000000071</v>
      </c>
      <c r="F61" s="11">
        <f t="shared" si="32"/>
        <v>-5.7999999999999972</v>
      </c>
      <c r="H61" s="11">
        <f t="shared" si="12"/>
        <v>0</v>
      </c>
      <c r="J61" s="11">
        <f t="shared" si="13"/>
        <v>-3.9999999999999929</v>
      </c>
      <c r="L61" s="11">
        <f t="shared" si="14"/>
        <v>2</v>
      </c>
      <c r="N61" s="11"/>
      <c r="P61" s="11"/>
      <c r="R61" s="11"/>
      <c r="S61" s="11">
        <f t="shared" si="18"/>
        <v>-6.6000000000000014</v>
      </c>
      <c r="U61" s="11"/>
      <c r="V61" s="11"/>
      <c r="X61" s="11">
        <f t="shared" ref="X61:X71" si="33">X25-Z25</f>
        <v>-7</v>
      </c>
      <c r="Y61" s="11"/>
      <c r="AA61" s="11"/>
      <c r="AC61" s="11"/>
      <c r="AE61" s="11"/>
      <c r="AG61" s="11">
        <f t="shared" si="25"/>
        <v>0</v>
      </c>
      <c r="AI61" s="11">
        <f t="shared" si="26"/>
        <v>-1</v>
      </c>
      <c r="AK61" s="11"/>
      <c r="AL61" s="11">
        <f t="shared" si="28"/>
        <v>-9.0000000000000071</v>
      </c>
      <c r="AN61" s="11"/>
      <c r="AP61" s="11">
        <f t="shared" si="30"/>
        <v>-3</v>
      </c>
      <c r="AR61" s="11">
        <f t="shared" si="31"/>
        <v>3</v>
      </c>
    </row>
    <row r="62" spans="1:44">
      <c r="A62" s="8"/>
      <c r="B62" s="11"/>
      <c r="D62" s="11">
        <f t="shared" si="11"/>
        <v>-1.3513513513513473</v>
      </c>
      <c r="F62" s="11">
        <f t="shared" si="32"/>
        <v>-8.9189189189189264</v>
      </c>
      <c r="H62" s="11">
        <f t="shared" si="12"/>
        <v>-29.729729729729726</v>
      </c>
      <c r="J62" s="11">
        <f t="shared" si="13"/>
        <v>0</v>
      </c>
      <c r="L62" s="11">
        <f t="shared" si="14"/>
        <v>-8.1081081081081052</v>
      </c>
      <c r="N62" s="11"/>
      <c r="P62" s="11"/>
      <c r="R62" s="11"/>
      <c r="S62" s="11">
        <f t="shared" si="18"/>
        <v>-22.972972972972968</v>
      </c>
      <c r="U62" s="11"/>
      <c r="V62" s="11"/>
      <c r="X62" s="11">
        <f t="shared" si="33"/>
        <v>4.054054054054042</v>
      </c>
      <c r="Y62" s="11"/>
      <c r="AA62" s="11"/>
      <c r="AC62" s="11"/>
      <c r="AE62" s="11"/>
      <c r="AG62" s="11">
        <f t="shared" si="25"/>
        <v>-8.1081081081081052</v>
      </c>
      <c r="AI62" s="11">
        <f t="shared" si="26"/>
        <v>-5.4054054054054035</v>
      </c>
      <c r="AK62" s="11"/>
      <c r="AL62" s="11">
        <f t="shared" si="28"/>
        <v>-51.351351351351354</v>
      </c>
      <c r="AN62" s="11"/>
      <c r="AP62" s="11">
        <f t="shared" si="30"/>
        <v>2.7027027027027017</v>
      </c>
      <c r="AR62" s="11">
        <f t="shared" si="31"/>
        <v>10.810810810810814</v>
      </c>
    </row>
    <row r="63" spans="1:44">
      <c r="A63" s="8"/>
      <c r="B63" s="11"/>
      <c r="D63" s="11">
        <f t="shared" si="11"/>
        <v>-28.524000000000001</v>
      </c>
      <c r="F63" s="11"/>
      <c r="H63" s="11">
        <f t="shared" si="12"/>
        <v>0.84799999999999898</v>
      </c>
      <c r="J63" s="11">
        <f t="shared" si="13"/>
        <v>0.95600000000000307</v>
      </c>
      <c r="L63" s="11">
        <f t="shared" si="14"/>
        <v>-8.9959999999999987</v>
      </c>
      <c r="N63" s="11"/>
      <c r="P63" s="11"/>
      <c r="R63" s="11"/>
      <c r="S63" s="11">
        <f t="shared" si="18"/>
        <v>-54.024000000000001</v>
      </c>
      <c r="U63" s="11"/>
      <c r="V63" s="11"/>
      <c r="X63" s="11">
        <f t="shared" si="33"/>
        <v>-1.2000000000000455E-2</v>
      </c>
      <c r="Y63" s="11"/>
      <c r="AA63" s="11"/>
      <c r="AC63" s="11"/>
      <c r="AE63" s="11"/>
      <c r="AG63" s="11">
        <f t="shared" si="25"/>
        <v>-63.712000000000003</v>
      </c>
      <c r="AI63" s="11">
        <f t="shared" si="26"/>
        <v>-50.936</v>
      </c>
      <c r="AK63" s="11"/>
      <c r="AL63" s="11">
        <f t="shared" si="28"/>
        <v>-51.395999999999994</v>
      </c>
      <c r="AN63" s="11"/>
      <c r="AP63" s="11">
        <f t="shared" si="30"/>
        <v>-0.42799999999999727</v>
      </c>
      <c r="AR63" s="11">
        <f t="shared" si="31"/>
        <v>-53.944000000000003</v>
      </c>
    </row>
    <row r="64" spans="1:44">
      <c r="A64" s="8"/>
      <c r="B64" s="11"/>
      <c r="D64" s="11">
        <f t="shared" si="11"/>
        <v>-6.6666666666666714</v>
      </c>
      <c r="F64" s="11">
        <f t="shared" ref="F64:F71" si="34">F28-G28</f>
        <v>-1.7777777777777715</v>
      </c>
      <c r="H64" s="11">
        <f t="shared" si="12"/>
        <v>-5.5555555555542924E-2</v>
      </c>
      <c r="J64" s="11">
        <f t="shared" si="13"/>
        <v>-0.55555555555554292</v>
      </c>
      <c r="L64" s="11">
        <f t="shared" si="14"/>
        <v>2.7777777777777715</v>
      </c>
      <c r="N64" s="11"/>
      <c r="P64" s="11"/>
      <c r="R64" s="11"/>
      <c r="S64" s="11">
        <f t="shared" si="18"/>
        <v>-10.5</v>
      </c>
      <c r="U64" s="11"/>
      <c r="V64" s="11"/>
      <c r="X64" s="11">
        <f t="shared" si="33"/>
        <v>-2.7777777777777715</v>
      </c>
      <c r="Y64" s="11"/>
      <c r="AA64" s="11"/>
      <c r="AC64" s="11"/>
      <c r="AE64" s="11"/>
      <c r="AG64" s="11">
        <f t="shared" si="25"/>
        <v>-14.444444444444443</v>
      </c>
      <c r="AI64" s="11">
        <f t="shared" si="26"/>
        <v>-0.55555555555555713</v>
      </c>
      <c r="AK64" s="11"/>
      <c r="AL64" s="11">
        <f t="shared" si="28"/>
        <v>-8.3333333333333286</v>
      </c>
      <c r="AN64" s="11"/>
      <c r="AP64" s="11">
        <f t="shared" si="30"/>
        <v>0</v>
      </c>
      <c r="AR64" s="11">
        <f t="shared" si="31"/>
        <v>-1.6666666666666572</v>
      </c>
    </row>
    <row r="65" spans="1:44">
      <c r="A65" s="8"/>
      <c r="B65" s="11"/>
      <c r="D65" s="11">
        <f t="shared" si="11"/>
        <v>-9.9310624493106374</v>
      </c>
      <c r="F65" s="11">
        <f t="shared" si="34"/>
        <v>-2.6885644768856309</v>
      </c>
      <c r="H65" s="11">
        <f t="shared" si="12"/>
        <v>-5.8029197080291937</v>
      </c>
      <c r="J65" s="11">
        <f t="shared" si="13"/>
        <v>-0.67315490673153988</v>
      </c>
      <c r="L65" s="11">
        <f t="shared" si="14"/>
        <v>1.7477696674776908</v>
      </c>
      <c r="N65" s="11"/>
      <c r="P65" s="11"/>
      <c r="R65" s="11"/>
      <c r="S65" s="11">
        <f t="shared" si="18"/>
        <v>15.089213300892133</v>
      </c>
      <c r="U65" s="11"/>
      <c r="V65" s="11"/>
      <c r="X65" s="11">
        <f t="shared" si="33"/>
        <v>15.32441200324412</v>
      </c>
      <c r="Y65" s="11"/>
      <c r="AA65" s="11"/>
      <c r="AC65" s="11"/>
      <c r="AE65" s="11"/>
      <c r="AG65" s="11">
        <f t="shared" si="25"/>
        <v>1.0502838605028444</v>
      </c>
      <c r="AI65" s="11">
        <f t="shared" si="26"/>
        <v>11.066504460665051</v>
      </c>
      <c r="AK65" s="11"/>
      <c r="AL65" s="11">
        <f t="shared" si="28"/>
        <v>8.3130575831305791</v>
      </c>
      <c r="AN65" s="11"/>
      <c r="AP65" s="11">
        <f t="shared" si="30"/>
        <v>1.0948905109488933</v>
      </c>
      <c r="AR65" s="11">
        <f t="shared" si="31"/>
        <v>0.24330900243308662</v>
      </c>
    </row>
    <row r="66" spans="1:44">
      <c r="A66" s="8"/>
      <c r="B66" s="11"/>
      <c r="D66" s="11">
        <f t="shared" si="11"/>
        <v>-1</v>
      </c>
      <c r="F66" s="11">
        <f t="shared" si="34"/>
        <v>3.2000000000000028</v>
      </c>
      <c r="H66" s="11">
        <f t="shared" si="12"/>
        <v>-4</v>
      </c>
      <c r="J66" s="11">
        <f t="shared" si="13"/>
        <v>-3</v>
      </c>
      <c r="L66" s="11">
        <f t="shared" si="14"/>
        <v>-3</v>
      </c>
      <c r="N66" s="11"/>
      <c r="P66" s="11"/>
      <c r="R66" s="11"/>
      <c r="S66" s="11">
        <f t="shared" si="18"/>
        <v>-17</v>
      </c>
      <c r="U66" s="11"/>
      <c r="V66" s="11"/>
      <c r="X66" s="11">
        <f t="shared" si="33"/>
        <v>-9</v>
      </c>
      <c r="Y66" s="11"/>
      <c r="AA66" s="11"/>
      <c r="AC66" s="11"/>
      <c r="AE66" s="11"/>
      <c r="AG66" s="11">
        <f t="shared" si="25"/>
        <v>-7</v>
      </c>
      <c r="AI66" s="11">
        <f t="shared" si="26"/>
        <v>-8</v>
      </c>
      <c r="AK66" s="11"/>
      <c r="AL66" s="11">
        <f t="shared" si="28"/>
        <v>-17</v>
      </c>
      <c r="AN66" s="11"/>
      <c r="AP66" s="11">
        <f t="shared" si="30"/>
        <v>-3</v>
      </c>
      <c r="AR66" s="11">
        <f t="shared" si="31"/>
        <v>-5</v>
      </c>
    </row>
    <row r="67" spans="1:44">
      <c r="A67" s="8"/>
      <c r="B67" s="11"/>
      <c r="D67" s="11">
        <f t="shared" si="11"/>
        <v>-6.1111111111111001</v>
      </c>
      <c r="F67" s="11">
        <f t="shared" si="34"/>
        <v>-1.8888888888888999</v>
      </c>
      <c r="H67" s="11">
        <f t="shared" si="12"/>
        <v>-2.7777777777777715</v>
      </c>
      <c r="J67" s="11">
        <f t="shared" si="13"/>
        <v>-1.6111111111111143</v>
      </c>
      <c r="L67" s="11">
        <f t="shared" si="14"/>
        <v>-2.2222222222222285</v>
      </c>
      <c r="N67" s="11"/>
      <c r="P67" s="11"/>
      <c r="R67" s="11"/>
      <c r="S67" s="11">
        <f t="shared" si="18"/>
        <v>-16.499999999999986</v>
      </c>
      <c r="U67" s="11"/>
      <c r="V67" s="11"/>
      <c r="X67" s="11">
        <f t="shared" si="33"/>
        <v>-3.8888888888888857</v>
      </c>
      <c r="Y67" s="11"/>
      <c r="AA67" s="11"/>
      <c r="AC67" s="11"/>
      <c r="AE67" s="11"/>
      <c r="AG67" s="11">
        <f t="shared" si="25"/>
        <v>-5.5555555555555571</v>
      </c>
      <c r="AI67" s="11">
        <f t="shared" si="26"/>
        <v>16.111111111111114</v>
      </c>
      <c r="AK67" s="11"/>
      <c r="AL67" s="11">
        <f t="shared" si="28"/>
        <v>-4.4444444444444571</v>
      </c>
      <c r="AN67" s="11"/>
      <c r="AP67" s="11">
        <f t="shared" si="30"/>
        <v>0</v>
      </c>
      <c r="AR67" s="11">
        <f t="shared" si="31"/>
        <v>2.2222222222222143</v>
      </c>
    </row>
    <row r="68" spans="1:44">
      <c r="A68" s="8"/>
      <c r="B68" s="11"/>
      <c r="D68" s="11">
        <f t="shared" si="11"/>
        <v>-0.88622069754144661</v>
      </c>
      <c r="F68" s="11">
        <f t="shared" si="34"/>
        <v>1.9010863350485891</v>
      </c>
      <c r="H68" s="11">
        <f t="shared" si="12"/>
        <v>-1.0548885077187009</v>
      </c>
      <c r="J68" s="11">
        <f t="shared" si="13"/>
        <v>-0.48313321898227457</v>
      </c>
      <c r="L68" s="11">
        <f t="shared" si="14"/>
        <v>0.45740423098914107</v>
      </c>
      <c r="N68" s="11"/>
      <c r="P68" s="11"/>
      <c r="R68" s="11"/>
      <c r="S68" s="11">
        <f t="shared" si="18"/>
        <v>-0.72327044025158216</v>
      </c>
      <c r="U68" s="11"/>
      <c r="V68" s="11"/>
      <c r="X68" s="11">
        <f t="shared" si="33"/>
        <v>-8.8622069754151767E-2</v>
      </c>
      <c r="Y68" s="11"/>
      <c r="AA68" s="11"/>
      <c r="AC68" s="11"/>
      <c r="AE68" s="11"/>
      <c r="AG68" s="11">
        <f t="shared" si="25"/>
        <v>-4.8627787307032548</v>
      </c>
      <c r="AI68" s="11">
        <f t="shared" si="26"/>
        <v>0.74614065180102784</v>
      </c>
      <c r="AK68" s="11"/>
      <c r="AL68" s="11">
        <f t="shared" si="28"/>
        <v>-0.77186963979416134</v>
      </c>
      <c r="AN68" s="11"/>
      <c r="AP68" s="11">
        <f t="shared" si="30"/>
        <v>-0.20011435105776343</v>
      </c>
      <c r="AR68" s="11">
        <f t="shared" si="31"/>
        <v>2.8587764436821317E-2</v>
      </c>
    </row>
    <row r="69" spans="1:44">
      <c r="A69" s="8"/>
      <c r="B69" s="11"/>
      <c r="D69" s="11">
        <f t="shared" si="11"/>
        <v>-10.226662690128244</v>
      </c>
      <c r="F69" s="11">
        <f t="shared" si="34"/>
        <v>-3.5878317924246872</v>
      </c>
      <c r="H69" s="11">
        <f t="shared" si="12"/>
        <v>-0.7634953772740829</v>
      </c>
      <c r="J69" s="11">
        <f t="shared" si="13"/>
        <v>1.7596182523113626</v>
      </c>
      <c r="L69" s="11">
        <f t="shared" si="14"/>
        <v>0.45034297643900967</v>
      </c>
      <c r="N69" s="11"/>
      <c r="P69" s="11"/>
      <c r="R69" s="11"/>
      <c r="S69" s="11">
        <f t="shared" si="18"/>
        <v>3.7160751565761991</v>
      </c>
      <c r="U69" s="11"/>
      <c r="V69" s="11"/>
      <c r="X69" s="11">
        <f t="shared" si="33"/>
        <v>12.830301222785568</v>
      </c>
      <c r="Y69" s="11"/>
      <c r="AA69" s="11"/>
      <c r="AC69" s="11"/>
      <c r="AE69" s="11"/>
      <c r="AG69" s="11">
        <f t="shared" si="25"/>
        <v>-6.7044437816880391</v>
      </c>
      <c r="AI69" s="11">
        <f t="shared" si="26"/>
        <v>-3.399940351923652</v>
      </c>
      <c r="AK69" s="11"/>
      <c r="AL69" s="11">
        <f t="shared" si="28"/>
        <v>-10.110348941246645</v>
      </c>
      <c r="AN69" s="11"/>
      <c r="AP69" s="11">
        <f t="shared" si="30"/>
        <v>-0.89472114524306789</v>
      </c>
      <c r="AR69" s="11">
        <f t="shared" si="31"/>
        <v>0.85893229943334148</v>
      </c>
    </row>
    <row r="70" spans="1:44">
      <c r="A70" s="8"/>
      <c r="B70" s="11"/>
      <c r="D70" s="11">
        <f t="shared" si="11"/>
        <v>-4.605263157894754</v>
      </c>
      <c r="F70" s="11">
        <f t="shared" si="34"/>
        <v>2.8947368421052602</v>
      </c>
      <c r="H70" s="11">
        <f t="shared" si="12"/>
        <v>-6.5789473684205291E-2</v>
      </c>
      <c r="J70" s="11">
        <f t="shared" si="13"/>
        <v>0.65789473684210975</v>
      </c>
      <c r="L70" s="11">
        <f t="shared" si="14"/>
        <v>0</v>
      </c>
      <c r="N70" s="11"/>
      <c r="P70" s="11"/>
      <c r="R70" s="11"/>
      <c r="S70" s="11">
        <f t="shared" si="18"/>
        <v>-6.8421052631578902</v>
      </c>
      <c r="U70" s="11"/>
      <c r="V70" s="11"/>
      <c r="X70" s="11">
        <f t="shared" si="33"/>
        <v>-3.2894736842105203</v>
      </c>
      <c r="Y70" s="11"/>
      <c r="AA70" s="11"/>
      <c r="AC70" s="11"/>
      <c r="AE70" s="11"/>
      <c r="AG70" s="11">
        <f t="shared" si="25"/>
        <v>-5.9210526315789451</v>
      </c>
      <c r="AI70" s="11">
        <f t="shared" si="26"/>
        <v>-1.3157894736842195</v>
      </c>
      <c r="AK70" s="11"/>
      <c r="AL70" s="11">
        <f t="shared" si="28"/>
        <v>-9.8684210526315894</v>
      </c>
      <c r="AN70" s="11"/>
      <c r="AP70" s="11">
        <f t="shared" si="30"/>
        <v>-0.65789473684209554</v>
      </c>
      <c r="AR70" s="11">
        <f t="shared" si="31"/>
        <v>0.65789473684209554</v>
      </c>
    </row>
    <row r="71" spans="1:44">
      <c r="A71" s="8"/>
      <c r="B71" s="11"/>
      <c r="D71" s="11">
        <f t="shared" si="11"/>
        <v>0</v>
      </c>
      <c r="F71" s="11">
        <f t="shared" si="34"/>
        <v>4</v>
      </c>
      <c r="H71" s="11">
        <f t="shared" si="12"/>
        <v>0</v>
      </c>
      <c r="J71" s="11">
        <f t="shared" si="13"/>
        <v>-6.6666666666666572</v>
      </c>
      <c r="L71" s="11">
        <f t="shared" si="14"/>
        <v>6.6666666666666643</v>
      </c>
      <c r="N71" s="11"/>
      <c r="P71" s="11"/>
      <c r="R71" s="11"/>
      <c r="S71" s="11">
        <f t="shared" si="18"/>
        <v>-13.333333333333321</v>
      </c>
      <c r="U71" s="11"/>
      <c r="V71" s="11"/>
      <c r="X71" s="11">
        <f t="shared" si="33"/>
        <v>-26.666666666666664</v>
      </c>
      <c r="Y71" s="11"/>
      <c r="AA71" s="11"/>
      <c r="AC71" s="11"/>
      <c r="AE71" s="11"/>
      <c r="AG71" s="11">
        <f t="shared" si="25"/>
        <v>-26.666666666666664</v>
      </c>
      <c r="AI71" s="11">
        <f t="shared" si="26"/>
        <v>-26.666666666666671</v>
      </c>
      <c r="AK71" s="11"/>
      <c r="AL71" s="11">
        <f t="shared" si="28"/>
        <v>-40</v>
      </c>
      <c r="AN71" s="11"/>
      <c r="AP71" s="11">
        <f t="shared" si="30"/>
        <v>-6.6666666666666643</v>
      </c>
      <c r="AR71" s="11">
        <f t="shared" si="31"/>
        <v>0</v>
      </c>
    </row>
    <row r="72" spans="1:44">
      <c r="A72" s="8"/>
      <c r="B72" s="10"/>
      <c r="D72" s="10"/>
      <c r="F72" s="10"/>
      <c r="H72" s="10"/>
      <c r="J72" s="10"/>
      <c r="L72" s="10"/>
      <c r="N72" s="10"/>
      <c r="P72" s="10"/>
      <c r="R72" s="10"/>
      <c r="S72" s="10"/>
      <c r="U72" s="10"/>
      <c r="V72" s="10"/>
      <c r="X72" s="10"/>
      <c r="Y72" s="10"/>
      <c r="AA72" s="10"/>
      <c r="AC72" s="10"/>
      <c r="AE72" s="10"/>
      <c r="AG72" s="10"/>
      <c r="AI72" s="10"/>
      <c r="AK72" s="10"/>
      <c r="AL72" s="10"/>
      <c r="AN72" s="10"/>
      <c r="AP72" s="10"/>
      <c r="AR72" s="10"/>
    </row>
    <row r="73" spans="1:44">
      <c r="A73" s="8"/>
      <c r="B73" s="11">
        <f>AVERAGE(B42:B71)</f>
        <v>-3.3852693564008645</v>
      </c>
      <c r="D73" s="11">
        <f>AVERAGE(D42:D71)</f>
        <v>-2.0559779372293012</v>
      </c>
      <c r="F73" s="11">
        <f>AVERAGE(F42:F71)</f>
        <v>-0.22388484433037201</v>
      </c>
      <c r="H73" s="11">
        <f>AVERAGE(H42:H71)</f>
        <v>-3.3201415835326999</v>
      </c>
      <c r="J73" s="11">
        <f>AVERAGE(J42:J71)</f>
        <v>-0.74673128359426244</v>
      </c>
      <c r="L73" s="11">
        <f>AVERAGE(L42:L71)</f>
        <v>-1.2373937619595496</v>
      </c>
      <c r="M73" s="20"/>
      <c r="N73" s="11">
        <f>AVERAGE(N42:N71)</f>
        <v>-2.3383544402236316</v>
      </c>
      <c r="P73" s="11">
        <f>AVERAGE(P42:P71)</f>
        <v>1.2983725978028313</v>
      </c>
      <c r="R73" s="11">
        <f>AVERAGE(R42:R71)</f>
        <v>-1.5928076948715195</v>
      </c>
      <c r="S73" s="11">
        <f>AVERAGE(S42:S71)</f>
        <v>-9.0140008244849277</v>
      </c>
      <c r="U73" s="11">
        <f>AVERAGE(U42:U71)</f>
        <v>0.76051065043168431</v>
      </c>
      <c r="V73" s="11">
        <f>AVERAGE(V42:V71)</f>
        <v>-0.83530566895171465</v>
      </c>
      <c r="X73" s="11">
        <f>AVERAGE(X42:X71)</f>
        <v>-2.1605734007506205</v>
      </c>
      <c r="Y73" s="11">
        <f>AVERAGE(Y42:Y71)</f>
        <v>-21.330071752417542</v>
      </c>
      <c r="AA73" s="11">
        <f>AVERAGE(AA42:AA71)</f>
        <v>0.3408448465844181</v>
      </c>
      <c r="AC73" s="11">
        <f>AVERAGE(AC42:AC71)</f>
        <v>-0.87918585641926972</v>
      </c>
      <c r="AE73" s="11">
        <f>AVERAGE(AE42:AE71)</f>
        <v>-3.3053989979752827</v>
      </c>
      <c r="AG73" s="11">
        <f>AVERAGE(AG42:AG71)</f>
        <v>-9.0104482746917789</v>
      </c>
      <c r="AI73" s="11">
        <f>AVERAGE(AI42:AI71)</f>
        <v>-5.2617218947908917</v>
      </c>
      <c r="AK73" s="11">
        <f>AVERAGE(AK42:AK71)</f>
        <v>-0.32950804462284111</v>
      </c>
      <c r="AL73" s="11">
        <f>AVERAGE(AL42:AL71)</f>
        <v>-15.616999779132721</v>
      </c>
      <c r="AN73" s="11">
        <f>AVERAGE(AN42:AN71)</f>
        <v>-3.5979594858559096</v>
      </c>
      <c r="AP73" s="11">
        <f>AVERAGE(AP42:AP71)</f>
        <v>-0.27815926554879894</v>
      </c>
      <c r="AR73" s="11">
        <f>AVERAGE(AR42:AR71)</f>
        <v>-8.0194679186647494E-2</v>
      </c>
    </row>
    <row r="74" spans="1:44">
      <c r="A74" s="8"/>
      <c r="B74" s="20">
        <f>-B73</f>
        <v>3.3852693564008645</v>
      </c>
      <c r="C74" s="20">
        <f t="shared" ref="C74:AR74" si="35">-C73</f>
        <v>0</v>
      </c>
      <c r="D74" s="20">
        <f t="shared" si="35"/>
        <v>2.0559779372293012</v>
      </c>
      <c r="E74" s="20">
        <f t="shared" si="35"/>
        <v>0</v>
      </c>
      <c r="F74" s="20">
        <f t="shared" si="35"/>
        <v>0.22388484433037201</v>
      </c>
      <c r="G74" s="20">
        <f t="shared" si="35"/>
        <v>0</v>
      </c>
      <c r="H74" s="20">
        <f t="shared" si="35"/>
        <v>3.3201415835326999</v>
      </c>
      <c r="I74" s="20">
        <f t="shared" si="35"/>
        <v>0</v>
      </c>
      <c r="J74" s="20">
        <f t="shared" si="35"/>
        <v>0.74673128359426244</v>
      </c>
      <c r="K74" s="20">
        <f t="shared" si="35"/>
        <v>0</v>
      </c>
      <c r="L74" s="20">
        <f t="shared" si="35"/>
        <v>1.2373937619595496</v>
      </c>
      <c r="M74" s="20">
        <f t="shared" si="35"/>
        <v>0</v>
      </c>
      <c r="N74" s="20">
        <f t="shared" si="35"/>
        <v>2.3383544402236316</v>
      </c>
      <c r="O74" s="20">
        <f t="shared" si="35"/>
        <v>0</v>
      </c>
      <c r="P74" s="20">
        <f t="shared" si="35"/>
        <v>-1.2983725978028313</v>
      </c>
      <c r="Q74" s="20">
        <f t="shared" si="35"/>
        <v>0</v>
      </c>
      <c r="R74" s="20">
        <f t="shared" si="35"/>
        <v>1.5928076948715195</v>
      </c>
      <c r="S74" s="20">
        <f t="shared" si="35"/>
        <v>9.0140008244849277</v>
      </c>
      <c r="T74" s="20">
        <f t="shared" si="35"/>
        <v>0</v>
      </c>
      <c r="U74" s="20">
        <f t="shared" si="35"/>
        <v>-0.76051065043168431</v>
      </c>
      <c r="V74" s="20">
        <f t="shared" si="35"/>
        <v>0.83530566895171465</v>
      </c>
      <c r="W74" s="20">
        <f t="shared" si="35"/>
        <v>0</v>
      </c>
      <c r="X74" s="20">
        <f t="shared" si="35"/>
        <v>2.1605734007506205</v>
      </c>
      <c r="Y74" s="20">
        <f t="shared" si="35"/>
        <v>21.330071752417542</v>
      </c>
      <c r="Z74" s="20">
        <f t="shared" si="35"/>
        <v>0</v>
      </c>
      <c r="AA74" s="20">
        <f t="shared" si="35"/>
        <v>-0.3408448465844181</v>
      </c>
      <c r="AB74" s="20">
        <f t="shared" si="35"/>
        <v>0</v>
      </c>
      <c r="AC74" s="20">
        <f t="shared" si="35"/>
        <v>0.87918585641926972</v>
      </c>
      <c r="AD74" s="20">
        <f t="shared" si="35"/>
        <v>0</v>
      </c>
      <c r="AE74" s="20">
        <f t="shared" si="35"/>
        <v>3.3053989979752827</v>
      </c>
      <c r="AF74" s="20">
        <f t="shared" si="35"/>
        <v>0</v>
      </c>
      <c r="AG74" s="20">
        <f t="shared" si="35"/>
        <v>9.0104482746917789</v>
      </c>
      <c r="AH74" s="20">
        <f t="shared" si="35"/>
        <v>0</v>
      </c>
      <c r="AI74" s="20">
        <f t="shared" si="35"/>
        <v>5.2617218947908917</v>
      </c>
      <c r="AJ74" s="20">
        <f t="shared" si="35"/>
        <v>0</v>
      </c>
      <c r="AK74" s="20">
        <f t="shared" si="35"/>
        <v>0.32950804462284111</v>
      </c>
      <c r="AL74" s="20">
        <f t="shared" si="35"/>
        <v>15.616999779132721</v>
      </c>
      <c r="AM74" s="20">
        <f t="shared" si="35"/>
        <v>0</v>
      </c>
      <c r="AN74" s="20">
        <f t="shared" si="35"/>
        <v>3.5979594858559096</v>
      </c>
      <c r="AO74" s="20">
        <f t="shared" si="35"/>
        <v>0</v>
      </c>
      <c r="AP74" s="20">
        <f t="shared" si="35"/>
        <v>0.27815926554879894</v>
      </c>
      <c r="AQ74" s="20">
        <f t="shared" si="35"/>
        <v>0</v>
      </c>
      <c r="AR74" s="20">
        <f t="shared" si="35"/>
        <v>8.0194679186647494E-2</v>
      </c>
    </row>
    <row r="75" spans="1:44">
      <c r="A75" s="8"/>
      <c r="B75" s="8"/>
    </row>
    <row r="76" spans="1:44">
      <c r="A76" s="8"/>
      <c r="B76" s="8"/>
    </row>
    <row r="77" spans="1:44">
      <c r="A77" s="8"/>
      <c r="B77" s="8"/>
    </row>
    <row r="78" spans="1:44">
      <c r="A78" s="8"/>
      <c r="B78" s="8"/>
    </row>
    <row r="79" spans="1:44">
      <c r="A79" s="8"/>
      <c r="B79" s="8"/>
    </row>
    <row r="80" spans="1:44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  <row r="96" spans="1:2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  <row r="105" spans="1:2">
      <c r="A105" s="8"/>
      <c r="B105" s="8"/>
    </row>
    <row r="106" spans="1:2">
      <c r="A106" s="8"/>
      <c r="B106" s="8"/>
    </row>
    <row r="107" spans="1:2">
      <c r="A107" s="8"/>
      <c r="B107" s="8"/>
    </row>
    <row r="108" spans="1:2">
      <c r="A108" s="8"/>
      <c r="B108" s="8"/>
    </row>
    <row r="109" spans="1:2">
      <c r="A109" s="8"/>
      <c r="B109" s="8"/>
    </row>
  </sheetData>
  <mergeCells count="40">
    <mergeCell ref="P4:Q4"/>
    <mergeCell ref="R4:T4"/>
    <mergeCell ref="U4:W4"/>
    <mergeCell ref="X4:Z4"/>
    <mergeCell ref="J4:K4"/>
    <mergeCell ref="L4:M4"/>
    <mergeCell ref="B4:C4"/>
    <mergeCell ref="D4:E4"/>
    <mergeCell ref="F4:G4"/>
    <mergeCell ref="H4:I4"/>
    <mergeCell ref="N4:O4"/>
    <mergeCell ref="AP4:AQ4"/>
    <mergeCell ref="AR4:AS4"/>
    <mergeCell ref="AA4:AB4"/>
    <mergeCell ref="AC4:AD4"/>
    <mergeCell ref="AE4:AF4"/>
    <mergeCell ref="AG4:AH4"/>
    <mergeCell ref="AI4:AJ4"/>
    <mergeCell ref="X3:Z3"/>
    <mergeCell ref="AA3:AB3"/>
    <mergeCell ref="AC3:AD3"/>
    <mergeCell ref="AK4:AM4"/>
    <mergeCell ref="AN4:AO4"/>
    <mergeCell ref="L3:M3"/>
    <mergeCell ref="N3:O3"/>
    <mergeCell ref="P3:Q3"/>
    <mergeCell ref="R3:T3"/>
    <mergeCell ref="U3:W3"/>
    <mergeCell ref="B3:C3"/>
    <mergeCell ref="D3:E3"/>
    <mergeCell ref="F3:G3"/>
    <mergeCell ref="H3:I3"/>
    <mergeCell ref="J3:K3"/>
    <mergeCell ref="AP3:AQ3"/>
    <mergeCell ref="AR3:AS3"/>
    <mergeCell ref="AE3:AF3"/>
    <mergeCell ref="AG3:AH3"/>
    <mergeCell ref="AI3:AJ3"/>
    <mergeCell ref="AK3:AM3"/>
    <mergeCell ref="AN3:AO3"/>
  </mergeCells>
  <phoneticPr fontId="1" type="noConversion"/>
  <conditionalFormatting sqref="A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AT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AT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AT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AT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AT1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AT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AT1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AT1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AT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AT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AT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AT1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AT1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AT1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AT2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AT2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AT2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AT2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AT2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AT2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AT2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AT2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AT2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AT2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AT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AT3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AT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AT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AT3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AT3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 C36 G36 I36 K36 M36 O36 Q36 T36 W36 Z36 AB36 AD36 AF36 AH36 AJ36 AM36 AO36 AQ36 AS36:AT36">
    <cfRule type="colorScale" priority="11">
      <colorScale>
        <cfvo type="min"/>
        <cfvo type="max"/>
        <color rgb="FFFCFCFF"/>
        <color theme="4" tint="0.39997558519241921"/>
      </colorScale>
    </cfRule>
  </conditionalFormatting>
  <conditionalFormatting sqref="E37 C37 G37 I37 K37 M37 O37 Q37 T37 W37 Z37 AB37 AD37 AF37 AH37 AJ37 AM37 AO37 AQ37 AS37:AT37">
    <cfRule type="colorScale" priority="10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D6C4-6EB1-FD41-B108-240EC657B09E}">
  <dimension ref="A3:AT107"/>
  <sheetViews>
    <sheetView tabSelected="1" topLeftCell="A2" zoomScale="70" zoomScaleNormal="70" workbookViewId="0">
      <pane xSplit="1" topLeftCell="W1" activePane="topRight" state="frozen"/>
      <selection activeCell="A3" sqref="A3"/>
      <selection pane="topRight" activeCell="AN3" sqref="AN3:AO38"/>
    </sheetView>
  </sheetViews>
  <sheetFormatPr baseColWidth="10" defaultRowHeight="18"/>
  <cols>
    <col min="1" max="1" width="11.85546875" customWidth="1"/>
    <col min="2" max="45" width="7.42578125" customWidth="1"/>
    <col min="46" max="46" width="9.5703125" customWidth="1"/>
  </cols>
  <sheetData>
    <row r="3" spans="1:46">
      <c r="A3" s="12" t="s">
        <v>58</v>
      </c>
      <c r="B3" s="41" t="s">
        <v>57</v>
      </c>
      <c r="C3" s="41"/>
      <c r="D3" s="41" t="s">
        <v>56</v>
      </c>
      <c r="E3" s="41"/>
      <c r="F3" s="41" t="s">
        <v>56</v>
      </c>
      <c r="G3" s="41"/>
      <c r="H3" s="41" t="s">
        <v>56</v>
      </c>
      <c r="I3" s="41"/>
      <c r="J3" s="41" t="s">
        <v>56</v>
      </c>
      <c r="K3" s="41"/>
      <c r="L3" s="42" t="s">
        <v>60</v>
      </c>
      <c r="M3" s="42"/>
      <c r="N3" s="41" t="s">
        <v>60</v>
      </c>
      <c r="O3" s="41"/>
      <c r="P3" s="41" t="s">
        <v>60</v>
      </c>
      <c r="Q3" s="41"/>
      <c r="R3" s="41" t="s">
        <v>62</v>
      </c>
      <c r="S3" s="41"/>
      <c r="T3" s="41"/>
      <c r="U3" s="42" t="s">
        <v>61</v>
      </c>
      <c r="V3" s="42"/>
      <c r="W3" s="42"/>
      <c r="X3" s="41" t="s">
        <v>62</v>
      </c>
      <c r="Y3" s="41"/>
      <c r="Z3" s="41"/>
      <c r="AA3" s="41" t="s">
        <v>62</v>
      </c>
      <c r="AB3" s="41"/>
      <c r="AC3" s="41" t="s">
        <v>60</v>
      </c>
      <c r="AD3" s="41"/>
      <c r="AE3" s="41" t="s">
        <v>60</v>
      </c>
      <c r="AF3" s="41"/>
      <c r="AG3" s="41" t="s">
        <v>60</v>
      </c>
      <c r="AH3" s="41"/>
      <c r="AI3" s="42" t="s">
        <v>60</v>
      </c>
      <c r="AJ3" s="42"/>
      <c r="AK3" s="43" t="s">
        <v>61</v>
      </c>
      <c r="AL3" s="43"/>
      <c r="AM3" s="43"/>
      <c r="AN3" s="42" t="s">
        <v>60</v>
      </c>
      <c r="AO3" s="42"/>
      <c r="AP3" s="41" t="s">
        <v>56</v>
      </c>
      <c r="AQ3" s="41"/>
      <c r="AR3" s="41" t="s">
        <v>56</v>
      </c>
      <c r="AS3" s="41"/>
    </row>
    <row r="4" spans="1:46">
      <c r="A4" s="12" t="s">
        <v>59</v>
      </c>
      <c r="B4" s="41" t="s">
        <v>19</v>
      </c>
      <c r="C4" s="41"/>
      <c r="D4" s="41" t="s">
        <v>20</v>
      </c>
      <c r="E4" s="41"/>
      <c r="F4" s="41" t="s">
        <v>35</v>
      </c>
      <c r="G4" s="41"/>
      <c r="H4" s="41" t="s">
        <v>21</v>
      </c>
      <c r="I4" s="41"/>
      <c r="J4" s="41" t="s">
        <v>34</v>
      </c>
      <c r="K4" s="41"/>
      <c r="L4" s="42" t="s">
        <v>50</v>
      </c>
      <c r="M4" s="42"/>
      <c r="N4" s="41" t="s">
        <v>22</v>
      </c>
      <c r="O4" s="41"/>
      <c r="P4" s="41" t="s">
        <v>23</v>
      </c>
      <c r="Q4" s="41"/>
      <c r="R4" s="41" t="s">
        <v>24</v>
      </c>
      <c r="S4" s="41"/>
      <c r="T4" s="41"/>
      <c r="U4" s="42" t="s">
        <v>25</v>
      </c>
      <c r="V4" s="42"/>
      <c r="W4" s="42"/>
      <c r="X4" s="41" t="s">
        <v>26</v>
      </c>
      <c r="Y4" s="41"/>
      <c r="Z4" s="41"/>
      <c r="AA4" s="41" t="s">
        <v>27</v>
      </c>
      <c r="AB4" s="41"/>
      <c r="AC4" s="41" t="s">
        <v>28</v>
      </c>
      <c r="AD4" s="41"/>
      <c r="AE4" s="41" t="s">
        <v>29</v>
      </c>
      <c r="AF4" s="41"/>
      <c r="AG4" s="41" t="s">
        <v>48</v>
      </c>
      <c r="AH4" s="41"/>
      <c r="AI4" s="42" t="s">
        <v>30</v>
      </c>
      <c r="AJ4" s="42"/>
      <c r="AK4" s="42" t="s">
        <v>31</v>
      </c>
      <c r="AL4" s="42"/>
      <c r="AM4" s="42"/>
      <c r="AN4" s="42" t="s">
        <v>32</v>
      </c>
      <c r="AO4" s="42"/>
      <c r="AP4" s="41" t="s">
        <v>47</v>
      </c>
      <c r="AQ4" s="41"/>
      <c r="AR4" s="41" t="s">
        <v>33</v>
      </c>
      <c r="AS4" s="41"/>
      <c r="AT4" s="3"/>
    </row>
    <row r="5" spans="1:46" ht="55" customHeight="1">
      <c r="A5" s="12" t="s">
        <v>51</v>
      </c>
      <c r="B5" s="16" t="s">
        <v>24</v>
      </c>
      <c r="C5" s="17" t="s">
        <v>49</v>
      </c>
      <c r="D5" s="5" t="s">
        <v>52</v>
      </c>
      <c r="E5" s="17" t="s">
        <v>49</v>
      </c>
      <c r="F5" s="16" t="s">
        <v>63</v>
      </c>
      <c r="G5" s="17" t="s">
        <v>49</v>
      </c>
      <c r="H5" s="16" t="s">
        <v>53</v>
      </c>
      <c r="I5" s="17" t="s">
        <v>49</v>
      </c>
      <c r="J5" s="16" t="s">
        <v>53</v>
      </c>
      <c r="K5" s="17" t="s">
        <v>49</v>
      </c>
      <c r="L5" s="5" t="s">
        <v>52</v>
      </c>
      <c r="M5" s="17" t="s">
        <v>49</v>
      </c>
      <c r="N5" s="16" t="s">
        <v>24</v>
      </c>
      <c r="O5" s="17" t="s">
        <v>49</v>
      </c>
      <c r="P5" s="16" t="s">
        <v>25</v>
      </c>
      <c r="Q5" s="17" t="s">
        <v>49</v>
      </c>
      <c r="R5" s="5" t="s">
        <v>63</v>
      </c>
      <c r="S5" s="5" t="s">
        <v>64</v>
      </c>
      <c r="T5" s="17" t="s">
        <v>49</v>
      </c>
      <c r="U5" s="16" t="s">
        <v>63</v>
      </c>
      <c r="V5" s="16" t="s">
        <v>54</v>
      </c>
      <c r="W5" s="17" t="s">
        <v>49</v>
      </c>
      <c r="X5" s="16" t="s">
        <v>63</v>
      </c>
      <c r="Y5" s="16" t="s">
        <v>33</v>
      </c>
      <c r="Z5" s="17" t="s">
        <v>49</v>
      </c>
      <c r="AA5" s="16" t="s">
        <v>63</v>
      </c>
      <c r="AB5" s="17" t="s">
        <v>49</v>
      </c>
      <c r="AC5" s="16" t="s">
        <v>24</v>
      </c>
      <c r="AD5" s="17" t="s">
        <v>49</v>
      </c>
      <c r="AE5" s="16" t="s">
        <v>24</v>
      </c>
      <c r="AF5" s="17" t="s">
        <v>49</v>
      </c>
      <c r="AG5" s="5" t="s">
        <v>55</v>
      </c>
      <c r="AH5" s="17" t="s">
        <v>49</v>
      </c>
      <c r="AI5" s="5" t="s">
        <v>55</v>
      </c>
      <c r="AJ5" s="17" t="s">
        <v>49</v>
      </c>
      <c r="AK5" s="16" t="s">
        <v>63</v>
      </c>
      <c r="AL5" s="5" t="s">
        <v>64</v>
      </c>
      <c r="AM5" s="17" t="s">
        <v>49</v>
      </c>
      <c r="AN5" s="16" t="s">
        <v>27</v>
      </c>
      <c r="AO5" s="17" t="s">
        <v>49</v>
      </c>
      <c r="AP5" s="16" t="s">
        <v>63</v>
      </c>
      <c r="AQ5" s="17" t="s">
        <v>49</v>
      </c>
      <c r="AR5" s="16" t="s">
        <v>63</v>
      </c>
      <c r="AS5" s="17" t="s">
        <v>49</v>
      </c>
      <c r="AT5" s="3"/>
    </row>
    <row r="6" spans="1:46">
      <c r="A6" s="8" t="s">
        <v>36</v>
      </c>
      <c r="B6" s="11">
        <f>'Compare w prev (colored)'!B6</f>
        <v>32.28136882129278</v>
      </c>
      <c r="C6" s="11">
        <f>'Compare w prev (colored)'!C6</f>
        <v>32.319391634980988</v>
      </c>
      <c r="D6" s="11">
        <f>'Compare w prev (colored)'!D6</f>
        <v>45.20912547528517</v>
      </c>
      <c r="E6" s="11">
        <f>'Compare w prev (colored)'!E6</f>
        <v>44.486692015209123</v>
      </c>
      <c r="F6" s="11">
        <f>'Compare w prev (colored)'!F6</f>
        <v>79.087452471482891</v>
      </c>
      <c r="G6" s="11">
        <f>'Compare w prev (colored)'!G6</f>
        <v>52.851711026615966</v>
      </c>
      <c r="H6" s="11">
        <f>'Compare w prev (colored)'!H6</f>
        <v>54.79087452471483</v>
      </c>
      <c r="I6" s="11">
        <f>'Compare w prev (colored)'!I6</f>
        <v>54.372623574144484</v>
      </c>
      <c r="J6" s="11">
        <f>'Compare w prev (colored)'!J6</f>
        <v>58.897338403041829</v>
      </c>
      <c r="K6" s="11">
        <f>'Compare w prev (colored)'!K6</f>
        <v>60.076045627376431</v>
      </c>
      <c r="L6" s="11">
        <f>'Compare w prev (colored)'!L6</f>
        <v>33.460076045627375</v>
      </c>
      <c r="M6" s="11">
        <f>'Compare w prev (colored)'!M6</f>
        <v>31.178707224334602</v>
      </c>
      <c r="N6" s="11">
        <f>'Compare w prev (colored)'!N6</f>
        <v>29.695817490494292</v>
      </c>
      <c r="O6" s="11">
        <f>'Compare w prev (colored)'!O6</f>
        <v>32.319391634980988</v>
      </c>
      <c r="P6" s="11">
        <f>'Compare w prev (colored)'!P6</f>
        <v>33.802281368821298</v>
      </c>
      <c r="Q6" s="11">
        <f>'Compare w prev (colored)'!Q6</f>
        <v>30.798479087452474</v>
      </c>
      <c r="R6" s="11">
        <f>'Compare w prev (colored)'!R6</f>
        <v>35.70342205323194</v>
      </c>
      <c r="S6" s="11">
        <f>'Compare w prev (colored)'!S6</f>
        <v>27.718631178707227</v>
      </c>
      <c r="T6" s="11">
        <f>'Compare w prev (colored)'!T6</f>
        <v>33.460076045627375</v>
      </c>
      <c r="U6" s="11">
        <f>'Compare w prev (colored)'!U6</f>
        <v>36.311787072243348</v>
      </c>
      <c r="V6" s="11">
        <f>'Compare w prev (colored)'!V6</f>
        <v>31.901140684410649</v>
      </c>
      <c r="W6" s="11">
        <f>'Compare w prev (colored)'!W6</f>
        <v>32.319391634980988</v>
      </c>
      <c r="X6" s="11">
        <f>'Compare w prev (colored)'!X6</f>
        <v>30.418250950570343</v>
      </c>
      <c r="Y6" s="11"/>
      <c r="Z6" s="11">
        <f>'Compare w prev (colored)'!Z6</f>
        <v>31.939163498098861</v>
      </c>
      <c r="AA6" s="11">
        <f>'Compare w prev (colored)'!AA6</f>
        <v>39.885931558935361</v>
      </c>
      <c r="AB6" s="11">
        <f>'Compare w prev (colored)'!AB6</f>
        <v>34.600760456273768</v>
      </c>
      <c r="AC6" s="11">
        <f>'Compare w prev (colored)'!AC6</f>
        <v>31.21673003802281</v>
      </c>
      <c r="AD6" s="11">
        <f>'Compare w prev (colored)'!AD6</f>
        <v>33.840304182509506</v>
      </c>
      <c r="AE6" s="11">
        <f>'Compare w prev (colored)'!AE6</f>
        <v>28.098859315589358</v>
      </c>
      <c r="AF6" s="11">
        <f>'Compare w prev (colored)'!AF6</f>
        <v>33.079847908745244</v>
      </c>
      <c r="AG6" s="11">
        <f>'Compare w prev (colored)'!AG6</f>
        <v>37.984790874524712</v>
      </c>
      <c r="AH6" s="11">
        <f>'Compare w prev (colored)'!AH6</f>
        <v>43.346007604562736</v>
      </c>
      <c r="AI6" s="11">
        <f>'Compare w prev (colored)'!AI6</f>
        <v>32.813688212927758</v>
      </c>
      <c r="AJ6" s="11">
        <f>'Compare w prev (colored)'!AJ6</f>
        <v>32.699619771863119</v>
      </c>
      <c r="AK6" s="11">
        <f>'Compare w prev (colored)'!AK6</f>
        <v>34.182509505703422</v>
      </c>
      <c r="AL6" s="11">
        <f>'Compare w prev (colored)'!AL6</f>
        <v>25.475285171102662</v>
      </c>
      <c r="AM6" s="11">
        <f>'Compare w prev (colored)'!AM6</f>
        <v>32.319391634980988</v>
      </c>
      <c r="AN6" s="11">
        <f>'Compare w prev (colored)'!AN6</f>
        <v>28.098859315589358</v>
      </c>
      <c r="AO6" s="11">
        <f>'Compare w prev (colored)'!AO6</f>
        <v>31.939163498098861</v>
      </c>
      <c r="AP6" s="11">
        <f>'Compare w prev (colored)'!AP6</f>
        <v>30.418250950570343</v>
      </c>
      <c r="AQ6" s="11">
        <f>'Compare w prev (colored)'!AQ6</f>
        <v>28.897338403041822</v>
      </c>
      <c r="AR6" s="11">
        <f>'Compare w prev (colored)'!AR6</f>
        <v>62.01520912547528</v>
      </c>
      <c r="AS6" s="11">
        <f>'Compare w prev (colored)'!AS6</f>
        <v>30.798479087452474</v>
      </c>
      <c r="AT6" s="9"/>
    </row>
    <row r="7" spans="1:46">
      <c r="A7" s="8" t="s">
        <v>0</v>
      </c>
      <c r="B7" s="11">
        <f>'Compare w prev (colored)'!B7</f>
        <v>52.900113507377981</v>
      </c>
      <c r="C7" s="11">
        <f>'Compare w prev (colored)'!C7</f>
        <v>52.86606129398411</v>
      </c>
      <c r="D7" s="11">
        <f>'Compare w prev (colored)'!D7</f>
        <v>64.699205448354149</v>
      </c>
      <c r="E7" s="11">
        <f>'Compare w prev (colored)'!E7</f>
        <v>61.606129398410893</v>
      </c>
      <c r="F7" s="11">
        <f>'Compare w prev (colored)'!F7</f>
        <v>71.347900113507379</v>
      </c>
      <c r="G7" s="11">
        <f>'Compare w prev (colored)'!G7</f>
        <v>61.379114642451761</v>
      </c>
      <c r="H7" s="11">
        <f>'Compare w prev (colored)'!H7</f>
        <v>52.301362088535754</v>
      </c>
      <c r="I7" s="11">
        <f>'Compare w prev (colored)'!I7</f>
        <v>60.981838819523269</v>
      </c>
      <c r="J7" s="11">
        <f>'Compare w prev (colored)'!J7</f>
        <v>61.901248581157773</v>
      </c>
      <c r="K7" s="11">
        <f>'Compare w prev (colored)'!K7</f>
        <v>61.293984108967081</v>
      </c>
      <c r="L7" s="11">
        <f>'Compare w prev (colored)'!L7</f>
        <v>67.999432463110111</v>
      </c>
      <c r="M7" s="11">
        <f>'Compare w prev (colored)'!M7</f>
        <v>69.494892167990912</v>
      </c>
      <c r="N7" s="11">
        <f>'Compare w prev (colored)'!N7</f>
        <v>67.5</v>
      </c>
      <c r="O7" s="11">
        <f>'Compare w prev (colored)'!O7</f>
        <v>68.473325766174796</v>
      </c>
      <c r="P7" s="11">
        <f>'Compare w prev (colored)'!P7</f>
        <v>70.198637911464246</v>
      </c>
      <c r="Q7" s="11">
        <f>'Compare w prev (colored)'!Q7</f>
        <v>68.530079455164582</v>
      </c>
      <c r="R7" s="11">
        <f>'Compare w prev (colored)'!R7</f>
        <v>68.601021566401826</v>
      </c>
      <c r="S7" s="11">
        <f>'Compare w prev (colored)'!S7</f>
        <v>67.468785471055611</v>
      </c>
      <c r="T7" s="11">
        <f>'Compare w prev (colored)'!T7</f>
        <v>70.147559591373437</v>
      </c>
      <c r="U7" s="11">
        <f>'Compare w prev (colored)'!U7</f>
        <v>70.800227014755961</v>
      </c>
      <c r="V7" s="11">
        <f>'Compare w prev (colored)'!V7</f>
        <v>68.700340522133942</v>
      </c>
      <c r="W7" s="11">
        <f>'Compare w prev (colored)'!W7</f>
        <v>66.997729852440415</v>
      </c>
      <c r="X7" s="11">
        <f>'Compare w prev (colored)'!X7</f>
        <v>66.770715096481268</v>
      </c>
      <c r="Y7" s="11"/>
      <c r="Z7" s="11">
        <f>'Compare w prev (colored)'!Z7</f>
        <v>66.969353007945514</v>
      </c>
      <c r="AA7" s="11">
        <f>'Compare w prev (colored)'!AA7</f>
        <v>71.799091940976155</v>
      </c>
      <c r="AB7" s="11">
        <f>'Compare w prev (colored)'!AB7</f>
        <v>69.665153234960272</v>
      </c>
      <c r="AC7" s="11">
        <f>'Compare w prev (colored)'!AC7</f>
        <v>65.998864926220207</v>
      </c>
      <c r="AD7" s="11">
        <f>'Compare w prev (colored)'!AD7</f>
        <v>69.892167990919404</v>
      </c>
      <c r="AE7" s="11">
        <f>'Compare w prev (colored)'!AE7</f>
        <v>66.299659477866072</v>
      </c>
      <c r="AF7" s="11">
        <f>'Compare w prev (colored)'!AF7</f>
        <v>68.33144154370035</v>
      </c>
      <c r="AG7" s="11">
        <f>'Compare w prev (colored)'!AG7</f>
        <v>68.700340522133942</v>
      </c>
      <c r="AH7" s="11">
        <f>'Compare w prev (colored)'!AH7</f>
        <v>69.636776390465386</v>
      </c>
      <c r="AI7" s="11">
        <f>'Compare w prev (colored)'!AI7</f>
        <v>68.961407491486938</v>
      </c>
      <c r="AJ7" s="11">
        <f>'Compare w prev (colored)'!AJ7</f>
        <v>68.076049943246304</v>
      </c>
      <c r="AK7" s="11">
        <f>'Compare w prev (colored)'!AK7</f>
        <v>69.199772985244039</v>
      </c>
      <c r="AL7" s="11">
        <f>'Compare w prev (colored)'!AL7</f>
        <v>65.578887627695806</v>
      </c>
      <c r="AM7" s="11">
        <f>'Compare w prev (colored)'!AM7</f>
        <v>68.615209988649255</v>
      </c>
      <c r="AN7" s="11">
        <f>'Compare w prev (colored)'!AN7</f>
        <v>66.299659477866072</v>
      </c>
      <c r="AO7" s="11">
        <f>'Compare w prev (colored)'!AO7</f>
        <v>68.416572077185009</v>
      </c>
      <c r="AP7" s="11">
        <f>'Compare w prev (colored)'!AP7</f>
        <v>66.401816118047677</v>
      </c>
      <c r="AQ7" s="11">
        <f>'Compare w prev (colored)'!AQ7</f>
        <v>63.791146424517599</v>
      </c>
      <c r="AR7" s="11">
        <f>'Compare w prev (colored)'!AR7</f>
        <v>69.401248581157773</v>
      </c>
      <c r="AS7" s="11">
        <f>'Compare w prev (colored)'!AS7</f>
        <v>70.204313280363223</v>
      </c>
      <c r="AT7" s="9"/>
    </row>
    <row r="8" spans="1:46">
      <c r="A8" s="8" t="s">
        <v>1</v>
      </c>
      <c r="B8" s="11">
        <f>'Compare w prev (colored)'!B8</f>
        <v>28.599999999999998</v>
      </c>
      <c r="C8" s="11">
        <f>'Compare w prev (colored)'!C8</f>
        <v>60.705882352941174</v>
      </c>
      <c r="D8" s="11">
        <f>'Compare w prev (colored)'!D8</f>
        <v>58.8</v>
      </c>
      <c r="E8" s="11">
        <f>'Compare w prev (colored)'!E8</f>
        <v>59.294117647058819</v>
      </c>
      <c r="F8" s="11">
        <f>'Compare w prev (colored)'!F8</f>
        <v>56.341176470588231</v>
      </c>
      <c r="G8" s="11">
        <f>'Compare w prev (colored)'!G8</f>
        <v>56.000000000000007</v>
      </c>
      <c r="H8" s="11">
        <f>'Compare w prev (colored)'!H8</f>
        <v>46.6</v>
      </c>
      <c r="I8" s="11">
        <f>'Compare w prev (colored)'!I8</f>
        <v>56.35294117647058</v>
      </c>
      <c r="J8" s="11">
        <f>'Compare w prev (colored)'!J8</f>
        <v>51.4</v>
      </c>
      <c r="K8" s="11">
        <f>'Compare w prev (colored)'!K8</f>
        <v>53.529411764705884</v>
      </c>
      <c r="L8" s="11">
        <f>'Compare w prev (colored)'!L8</f>
        <v>27</v>
      </c>
      <c r="M8" s="11">
        <f>'Compare w prev (colored)'!M8</f>
        <v>23.764705882352942</v>
      </c>
      <c r="N8" s="11">
        <f>'Compare w prev (colored)'!N8</f>
        <v>26.10588235294118</v>
      </c>
      <c r="O8" s="11">
        <f>'Compare w prev (colored)'!O8</f>
        <v>25.058823529411768</v>
      </c>
      <c r="P8" s="11">
        <f>'Compare w prev (colored)'!P8</f>
        <v>26</v>
      </c>
      <c r="Q8" s="11">
        <f>'Compare w prev (colored)'!Q8</f>
        <v>19.647058823529413</v>
      </c>
      <c r="R8" s="11">
        <f>'Compare w prev (colored)'!R8</f>
        <v>32.105882352941173</v>
      </c>
      <c r="S8" s="11">
        <f>'Compare w prev (colored)'!S8</f>
        <v>26.176470588235297</v>
      </c>
      <c r="T8" s="11">
        <f>'Compare w prev (colored)'!T8</f>
        <v>37.529411764705884</v>
      </c>
      <c r="U8" s="11">
        <f>'Compare w prev (colored)'!U8</f>
        <v>30.600000000000005</v>
      </c>
      <c r="V8" s="11">
        <f>'Compare w prev (colored)'!V8</f>
        <v>28.400000000000002</v>
      </c>
      <c r="W8" s="11">
        <f>'Compare w prev (colored)'!W8</f>
        <v>30.117647058823525</v>
      </c>
      <c r="X8" s="11">
        <f>'Compare w prev (colored)'!X8</f>
        <v>57.882352941176471</v>
      </c>
      <c r="Y8" s="11"/>
      <c r="Z8" s="11">
        <f>'Compare w prev (colored)'!Z8</f>
        <v>62</v>
      </c>
      <c r="AA8" s="11">
        <f>'Compare w prev (colored)'!AA8</f>
        <v>26.505882352941178</v>
      </c>
      <c r="AB8" s="11">
        <f>'Compare w prev (colored)'!AB8</f>
        <v>33.647058823529413</v>
      </c>
      <c r="AC8" s="11">
        <f>'Compare w prev (colored)'!AC8</f>
        <v>28.000000000000004</v>
      </c>
      <c r="AD8" s="11">
        <f>'Compare w prev (colored)'!AD8</f>
        <v>33.411764705882355</v>
      </c>
      <c r="AE8" s="11">
        <f>'Compare w prev (colored)'!AE8</f>
        <v>32.505882352941178</v>
      </c>
      <c r="AF8" s="11">
        <f>'Compare w prev (colored)'!AF8</f>
        <v>35.647058823529406</v>
      </c>
      <c r="AG8" s="11">
        <f>'Compare w prev (colored)'!AG8</f>
        <v>28.800000000000004</v>
      </c>
      <c r="AH8" s="11">
        <f>'Compare w prev (colored)'!AH8</f>
        <v>30.352941176470587</v>
      </c>
      <c r="AI8" s="11">
        <f>'Compare w prev (colored)'!AI8</f>
        <v>29.599999999999998</v>
      </c>
      <c r="AJ8" s="11">
        <f>'Compare w prev (colored)'!AJ8</f>
        <v>29.52941176470588</v>
      </c>
      <c r="AK8" s="11">
        <f>'Compare w prev (colored)'!AK8</f>
        <v>32.705882352941181</v>
      </c>
      <c r="AL8" s="11">
        <f>'Compare w prev (colored)'!AL8</f>
        <v>3.7647058823529407</v>
      </c>
      <c r="AM8" s="11">
        <f>'Compare w prev (colored)'!AM8</f>
        <v>34.117647058823529</v>
      </c>
      <c r="AN8" s="11">
        <f>'Compare w prev (colored)'!AN8</f>
        <v>24.2</v>
      </c>
      <c r="AO8" s="11">
        <f>'Compare w prev (colored)'!AO8</f>
        <v>31.294117647058822</v>
      </c>
      <c r="AP8" s="11">
        <f>'Compare w prev (colored)'!AP8</f>
        <v>61.882352941176464</v>
      </c>
      <c r="AQ8" s="11">
        <f>'Compare w prev (colored)'!AQ8</f>
        <v>58.705882352941174</v>
      </c>
      <c r="AR8" s="11">
        <f>'Compare w prev (colored)'!AR8</f>
        <v>53.305882352941182</v>
      </c>
      <c r="AS8" s="11">
        <f>'Compare w prev (colored)'!AS8</f>
        <v>45.058823529411761</v>
      </c>
      <c r="AT8" s="9"/>
    </row>
    <row r="9" spans="1:46">
      <c r="A9" s="8" t="s">
        <v>2</v>
      </c>
      <c r="B9" s="11">
        <f>'Compare w prev (colored)'!B9</f>
        <v>71.707317073170728</v>
      </c>
      <c r="C9" s="11">
        <f>'Compare w prev (colored)'!C9</f>
        <v>71.707317073170728</v>
      </c>
      <c r="D9" s="11">
        <f>'Compare w prev (colored)'!D9</f>
        <v>75.609756097560975</v>
      </c>
      <c r="E9" s="11">
        <f>'Compare w prev (colored)'!E9</f>
        <v>75.609756097560975</v>
      </c>
      <c r="F9" s="11">
        <f>'Compare w prev (colored)'!F9</f>
        <v>72.878048780487802</v>
      </c>
      <c r="G9" s="11">
        <f>'Compare w prev (colored)'!G9</f>
        <v>78.536585365853668</v>
      </c>
      <c r="H9" s="11">
        <f>'Compare w prev (colored)'!H9</f>
        <v>76.097560975609753</v>
      </c>
      <c r="I9" s="11">
        <f>'Compare w prev (colored)'!I9</f>
        <v>76.585365853658544</v>
      </c>
      <c r="J9" s="11">
        <f>'Compare w prev (colored)'!J9</f>
        <v>73.219512195121951</v>
      </c>
      <c r="K9" s="11">
        <f>'Compare w prev (colored)'!K9</f>
        <v>77.073170731707322</v>
      </c>
      <c r="L9" s="11">
        <f>'Compare w prev (colored)'!L9</f>
        <v>75.121951219512198</v>
      </c>
      <c r="M9" s="11">
        <f>'Compare w prev (colored)'!M9</f>
        <v>76.585365853658544</v>
      </c>
      <c r="N9" s="11">
        <f>'Compare w prev (colored)'!N9</f>
        <v>75.121951219512198</v>
      </c>
      <c r="O9" s="11">
        <f>'Compare w prev (colored)'!O9</f>
        <v>77.560975609756099</v>
      </c>
      <c r="P9" s="11">
        <f>'Compare w prev (colored)'!P9</f>
        <v>77.121951219512198</v>
      </c>
      <c r="Q9" s="11">
        <f>'Compare w prev (colored)'!Q9</f>
        <v>79.024390243902445</v>
      </c>
      <c r="R9" s="11">
        <f>'Compare w prev (colored)'!R9</f>
        <v>78</v>
      </c>
      <c r="S9" s="11">
        <f>'Compare w prev (colored)'!S9</f>
        <v>74.487804878048777</v>
      </c>
      <c r="T9" s="11">
        <f>'Compare w prev (colored)'!T9</f>
        <v>83.902439024390247</v>
      </c>
      <c r="U9" s="11">
        <f>'Compare w prev (colored)'!U9</f>
        <v>77.219512195121951</v>
      </c>
      <c r="V9" s="11">
        <f>'Compare w prev (colored)'!V9</f>
        <v>77.121951219512198</v>
      </c>
      <c r="W9" s="11">
        <f>'Compare w prev (colored)'!W9</f>
        <v>78.048780487804876</v>
      </c>
      <c r="X9" s="11">
        <f>'Compare w prev (colored)'!X9</f>
        <v>77.560975609756099</v>
      </c>
      <c r="Y9" s="11"/>
      <c r="Z9" s="11">
        <f>'Compare w prev (colored)'!Z9</f>
        <v>79.512195121951223</v>
      </c>
      <c r="AA9" s="11">
        <f>'Compare w prev (colored)'!AA9</f>
        <v>79.121951219512184</v>
      </c>
      <c r="AB9" s="11">
        <f>'Compare w prev (colored)'!AB9</f>
        <v>80.487804878048792</v>
      </c>
      <c r="AC9" s="11">
        <f>'Compare w prev (colored)'!AC9</f>
        <v>73.707317073170728</v>
      </c>
      <c r="AD9" s="11">
        <f>'Compare w prev (colored)'!AD9</f>
        <v>78.048780487804876</v>
      </c>
      <c r="AE9" s="11">
        <f>'Compare w prev (colored)'!AE9</f>
        <v>71.219512195121951</v>
      </c>
      <c r="AF9" s="11">
        <f>'Compare w prev (colored)'!AF9</f>
        <v>78.536585365853668</v>
      </c>
      <c r="AG9" s="11">
        <f>'Compare w prev (colored)'!AG9</f>
        <v>77.609756097560975</v>
      </c>
      <c r="AH9" s="11">
        <f>'Compare w prev (colored)'!AH9</f>
        <v>79.024390243902445</v>
      </c>
      <c r="AI9" s="11">
        <f>'Compare w prev (colored)'!AI9</f>
        <v>76.585365853658544</v>
      </c>
      <c r="AJ9" s="11">
        <f>'Compare w prev (colored)'!AJ9</f>
        <v>73.658536585365852</v>
      </c>
      <c r="AK9" s="11">
        <f>'Compare w prev (colored)'!AK9</f>
        <v>77.219512195121951</v>
      </c>
      <c r="AL9" s="11">
        <f>'Compare w prev (colored)'!AL9</f>
        <v>36.585365853658537</v>
      </c>
      <c r="AM9" s="11">
        <f>'Compare w prev (colored)'!AM9</f>
        <v>79.024390243902445</v>
      </c>
      <c r="AN9" s="11">
        <f>'Compare w prev (colored)'!AN9</f>
        <v>75.609756097560975</v>
      </c>
      <c r="AO9" s="11">
        <f>'Compare w prev (colored)'!AO9</f>
        <v>78.048780487804876</v>
      </c>
      <c r="AP9" s="11">
        <f>'Compare w prev (colored)'!AP9</f>
        <v>79.512195121951223</v>
      </c>
      <c r="AQ9" s="11">
        <f>'Compare w prev (colored)'!AQ9</f>
        <v>80.487804878048792</v>
      </c>
      <c r="AR9" s="11">
        <f>'Compare w prev (colored)'!AR9</f>
        <v>76.585365853658544</v>
      </c>
      <c r="AS9" s="11">
        <f>'Compare w prev (colored)'!AS9</f>
        <v>78.536585365853668</v>
      </c>
      <c r="AT9" s="9"/>
    </row>
    <row r="10" spans="1:46">
      <c r="A10" s="8" t="s">
        <v>37</v>
      </c>
      <c r="B10" s="11">
        <f>'Compare w prev (colored)'!B10</f>
        <v>94.891891891891902</v>
      </c>
      <c r="C10" s="11">
        <f>'Compare w prev (colored)'!C10</f>
        <v>95.945945945945937</v>
      </c>
      <c r="D10" s="11">
        <f>'Compare w prev (colored)'!D10</f>
        <v>96.189189189189179</v>
      </c>
      <c r="E10" s="11">
        <f>'Compare w prev (colored)'!E10</f>
        <v>83.78378378378379</v>
      </c>
      <c r="F10" s="11"/>
      <c r="G10" s="11">
        <f>'Compare w prev (colored)'!G10</f>
        <v>98.378378378378386</v>
      </c>
      <c r="H10" s="11">
        <f>'Compare w prev (colored)'!H10</f>
        <v>97.810810810810807</v>
      </c>
      <c r="I10" s="11">
        <f>'Compare w prev (colored)'!I10</f>
        <v>97.837837837837839</v>
      </c>
      <c r="J10" s="11">
        <f>'Compare w prev (colored)'!J10</f>
        <v>97.810810810810807</v>
      </c>
      <c r="K10" s="11">
        <f>'Compare w prev (colored)'!K10</f>
        <v>98.378378378378386</v>
      </c>
      <c r="L10" s="11">
        <f>'Compare w prev (colored)'!L10</f>
        <v>97.837837837837839</v>
      </c>
      <c r="M10" s="11">
        <f>'Compare w prev (colored)'!M10</f>
        <v>96.486486486486484</v>
      </c>
      <c r="N10" s="11">
        <f>'Compare w prev (colored)'!N10</f>
        <v>96.189189189189179</v>
      </c>
      <c r="O10" s="11">
        <f>'Compare w prev (colored)'!O10</f>
        <v>96.756756756756758</v>
      </c>
      <c r="P10" s="11">
        <f>'Compare w prev (colored)'!P10</f>
        <v>94.297297297297291</v>
      </c>
      <c r="Q10" s="11">
        <f>'Compare w prev (colored)'!Q10</f>
        <v>95.945945945945937</v>
      </c>
      <c r="R10" s="11">
        <f>'Compare w prev (colored)'!R10</f>
        <v>98.405405405405418</v>
      </c>
      <c r="S10" s="11">
        <f>'Compare w prev (colored)'!S10</f>
        <v>97.837837837837839</v>
      </c>
      <c r="T10" s="11">
        <f>'Compare w prev (colored)'!T10</f>
        <v>98.648648648648646</v>
      </c>
      <c r="U10" s="11">
        <f>'Compare w prev (colored)'!U10</f>
        <v>98.810810810810807</v>
      </c>
      <c r="V10" s="11">
        <f>'Compare w prev (colored)'!V10</f>
        <v>98.108108108108098</v>
      </c>
      <c r="W10" s="11">
        <f>'Compare w prev (colored)'!W10</f>
        <v>98.648648648648646</v>
      </c>
      <c r="X10" s="11">
        <f>'Compare w prev (colored)'!X10</f>
        <v>99.189189189189193</v>
      </c>
      <c r="Y10" s="11"/>
      <c r="Z10" s="11">
        <f>'Compare w prev (colored)'!Z10</f>
        <v>98.918918918918919</v>
      </c>
      <c r="AA10" s="11">
        <f>'Compare w prev (colored)'!AA10</f>
        <v>97.891891891891888</v>
      </c>
      <c r="AB10" s="11">
        <f>'Compare w prev (colored)'!AB10</f>
        <v>99.189189189189193</v>
      </c>
      <c r="AC10" s="11">
        <f>'Compare w prev (colored)'!AC10</f>
        <v>98.405405405405418</v>
      </c>
      <c r="AD10" s="11">
        <f>'Compare w prev (colored)'!AD10</f>
        <v>97.567567567567565</v>
      </c>
      <c r="AE10" s="11">
        <f>'Compare w prev (colored)'!AE10</f>
        <v>95.891891891891888</v>
      </c>
      <c r="AF10" s="11">
        <f>'Compare w prev (colored)'!AF10</f>
        <v>98.378378378378386</v>
      </c>
      <c r="AG10" s="11">
        <f>'Compare w prev (colored)'!AG10</f>
        <v>99.108108108108112</v>
      </c>
      <c r="AH10" s="11">
        <f>'Compare w prev (colored)'!AH10</f>
        <v>98.378378378378386</v>
      </c>
      <c r="AI10" s="11">
        <f>'Compare w prev (colored)'!AI10</f>
        <v>98.648648648648646</v>
      </c>
      <c r="AJ10" s="11">
        <f>'Compare w prev (colored)'!AJ10</f>
        <v>97.027027027027017</v>
      </c>
      <c r="AK10" s="11">
        <f>'Compare w prev (colored)'!AK10</f>
        <v>98.594594594594597</v>
      </c>
      <c r="AL10" s="11">
        <f>'Compare w prev (colored)'!AL10</f>
        <v>98.108108108108098</v>
      </c>
      <c r="AM10" s="11">
        <f>'Compare w prev (colored)'!AM10</f>
        <v>98.108108108108098</v>
      </c>
      <c r="AN10" s="11">
        <f>'Compare w prev (colored)'!AN10</f>
        <v>96.594594594594582</v>
      </c>
      <c r="AO10" s="11">
        <f>'Compare w prev (colored)'!AO10</f>
        <v>98.108108108108098</v>
      </c>
      <c r="AP10" s="11">
        <f>'Compare w prev (colored)'!AP10</f>
        <v>99.189189189189193</v>
      </c>
      <c r="AQ10" s="11">
        <f>'Compare w prev (colored)'!AQ10</f>
        <v>99.729729729729726</v>
      </c>
      <c r="AR10" s="11">
        <f>'Compare w prev (colored)'!AR10</f>
        <v>97</v>
      </c>
      <c r="AS10" s="11">
        <f>'Compare w prev (colored)'!AS10</f>
        <v>98.378378378378386</v>
      </c>
      <c r="AT10" s="9"/>
    </row>
    <row r="11" spans="1:46">
      <c r="A11" s="8" t="s">
        <v>38</v>
      </c>
      <c r="B11" s="11">
        <f>'Compare w prev (colored)'!B11</f>
        <v>71.098265895953759</v>
      </c>
      <c r="C11" s="11">
        <f>'Compare w prev (colored)'!C11</f>
        <v>71.098265895953759</v>
      </c>
      <c r="D11" s="11">
        <f>'Compare w prev (colored)'!D11</f>
        <v>75.086705202312146</v>
      </c>
      <c r="E11" s="11">
        <f>'Compare w prev (colored)'!E11</f>
        <v>84.393063583815035</v>
      </c>
      <c r="F11" s="11">
        <f>'Compare w prev (colored)'!F11</f>
        <v>99.826589595375708</v>
      </c>
      <c r="G11" s="11">
        <f>'Compare w prev (colored)'!G11</f>
        <v>97.687861271676297</v>
      </c>
      <c r="H11" s="11">
        <f>'Compare w prev (colored)'!H11</f>
        <v>80.289017341040463</v>
      </c>
      <c r="I11" s="11">
        <f>'Compare w prev (colored)'!I11</f>
        <v>98.265895953757223</v>
      </c>
      <c r="J11" s="11">
        <f>'Compare w prev (colored)'!J11</f>
        <v>77.51445086705202</v>
      </c>
      <c r="K11" s="11">
        <f>'Compare w prev (colored)'!K11</f>
        <v>82.658959537572258</v>
      </c>
      <c r="L11" s="11">
        <f>'Compare w prev (colored)'!L11</f>
        <v>82.080924855491332</v>
      </c>
      <c r="M11" s="11">
        <f>'Compare w prev (colored)'!M11</f>
        <v>82.658959537572258</v>
      </c>
      <c r="N11" s="11">
        <f>'Compare w prev (colored)'!N11</f>
        <v>88.381502890173408</v>
      </c>
      <c r="O11" s="11">
        <f>'Compare w prev (colored)'!O11</f>
        <v>87.861271676300575</v>
      </c>
      <c r="P11" s="11">
        <f>'Compare w prev (colored)'!P11</f>
        <v>80.924855491329481</v>
      </c>
      <c r="Q11" s="11">
        <f>'Compare w prev (colored)'!Q11</f>
        <v>82.080924855491332</v>
      </c>
      <c r="R11" s="11">
        <f>'Compare w prev (colored)'!R11</f>
        <v>89.595375722543352</v>
      </c>
      <c r="S11" s="11">
        <f>'Compare w prev (colored)'!S11</f>
        <v>88.150289017341038</v>
      </c>
      <c r="T11" s="11">
        <f>'Compare w prev (colored)'!T11</f>
        <v>87.861271676300575</v>
      </c>
      <c r="U11" s="11">
        <f>'Compare w prev (colored)'!U11</f>
        <v>89.075144508670519</v>
      </c>
      <c r="V11" s="11">
        <f>'Compare w prev (colored)'!V11</f>
        <v>83.179190751445091</v>
      </c>
      <c r="W11" s="11">
        <f>'Compare w prev (colored)'!W11</f>
        <v>86.705202312138724</v>
      </c>
      <c r="X11" s="11">
        <f>'Compare w prev (colored)'!X11</f>
        <v>83.815028901734095</v>
      </c>
      <c r="Y11" s="11"/>
      <c r="Z11" s="11">
        <f>'Compare w prev (colored)'!Z11</f>
        <v>89.017341040462426</v>
      </c>
      <c r="AA11" s="11">
        <f>'Compare w prev (colored)'!AA11</f>
        <v>90.982658959537574</v>
      </c>
      <c r="AB11" s="11">
        <f>'Compare w prev (colored)'!AB11</f>
        <v>89.017341040462426</v>
      </c>
      <c r="AC11" s="11">
        <f>'Compare w prev (colored)'!AC11</f>
        <v>80.924855491329481</v>
      </c>
      <c r="AD11" s="11">
        <f>'Compare w prev (colored)'!AD11</f>
        <v>89.017341040462426</v>
      </c>
      <c r="AE11" s="11">
        <f>'Compare w prev (colored)'!AE11</f>
        <v>86.011560693641627</v>
      </c>
      <c r="AF11" s="11">
        <f>'Compare w prev (colored)'!AF11</f>
        <v>87.861271676300575</v>
      </c>
      <c r="AG11" s="11">
        <f>'Compare w prev (colored)'!AG11</f>
        <v>85.895953757225428</v>
      </c>
      <c r="AH11" s="11">
        <f>'Compare w prev (colored)'!AH11</f>
        <v>89.595375722543352</v>
      </c>
      <c r="AI11" s="11">
        <f>'Compare w prev (colored)'!AI11</f>
        <v>89.306358381502889</v>
      </c>
      <c r="AJ11" s="11">
        <f>'Compare w prev (colored)'!AJ11</f>
        <v>89.017341040462426</v>
      </c>
      <c r="AK11" s="11">
        <f>'Compare w prev (colored)'!AK11</f>
        <v>87.919075144508668</v>
      </c>
      <c r="AL11" s="11">
        <f>'Compare w prev (colored)'!AL11</f>
        <v>87.283236994219649</v>
      </c>
      <c r="AM11" s="11">
        <f>'Compare w prev (colored)'!AM11</f>
        <v>88.439306358381501</v>
      </c>
      <c r="AN11" s="11">
        <f>'Compare w prev (colored)'!AN11</f>
        <v>87.919075144508668</v>
      </c>
      <c r="AO11" s="11">
        <f>'Compare w prev (colored)'!AO11</f>
        <v>91.329479768786129</v>
      </c>
      <c r="AP11" s="11">
        <f>'Compare w prev (colored)'!AP11</f>
        <v>88.439306358381501</v>
      </c>
      <c r="AQ11" s="11">
        <f>'Compare w prev (colored)'!AQ11</f>
        <v>86.127167630057798</v>
      </c>
      <c r="AR11" s="11">
        <f>'Compare w prev (colored)'!AR11</f>
        <v>90.173410404624278</v>
      </c>
      <c r="AS11" s="11">
        <f>'Compare w prev (colored)'!AS11</f>
        <v>90.173410404624278</v>
      </c>
      <c r="AT11" s="9"/>
    </row>
    <row r="12" spans="1:46">
      <c r="A12" s="8" t="s">
        <v>39</v>
      </c>
      <c r="B12" s="11">
        <f>'Compare w prev (colored)'!B12</f>
        <v>77.713310580204777</v>
      </c>
      <c r="C12" s="11">
        <f>'Compare w prev (colored)'!C12</f>
        <v>77.474402730375431</v>
      </c>
      <c r="D12" s="11">
        <f>'Compare w prev (colored)'!D12</f>
        <v>90.784982935153579</v>
      </c>
      <c r="E12" s="11">
        <f>'Compare w prev (colored)'!E12</f>
        <v>85.665529010238899</v>
      </c>
      <c r="F12" s="11">
        <f>'Compare w prev (colored)'!F12</f>
        <v>87.883959044368595</v>
      </c>
      <c r="G12" s="11">
        <f>'Compare w prev (colored)'!G12</f>
        <v>89.078498293515366</v>
      </c>
      <c r="H12" s="11">
        <f>'Compare w prev (colored)'!H12</f>
        <v>86.689419795221852</v>
      </c>
      <c r="I12" s="11">
        <f>'Compare w prev (colored)'!I12</f>
        <v>86.689419795221852</v>
      </c>
      <c r="J12" s="11">
        <f>'Compare w prev (colored)'!J12</f>
        <v>95.187713310580207</v>
      </c>
      <c r="K12" s="11">
        <f>'Compare w prev (colored)'!K12</f>
        <v>94.88054607508532</v>
      </c>
      <c r="L12" s="11">
        <f>'Compare w prev (colored)'!L12</f>
        <v>88.395904436860079</v>
      </c>
      <c r="M12" s="11">
        <f>'Compare w prev (colored)'!M12</f>
        <v>92.832764505119457</v>
      </c>
      <c r="N12" s="11">
        <f>'Compare w prev (colored)'!N12</f>
        <v>89.795221843003432</v>
      </c>
      <c r="O12" s="11">
        <f>'Compare w prev (colored)'!O12</f>
        <v>92.832764505119457</v>
      </c>
      <c r="P12" s="11">
        <f>'Compare w prev (colored)'!P12</f>
        <v>91.706484641638212</v>
      </c>
      <c r="Q12" s="11">
        <f>'Compare w prev (colored)'!Q12</f>
        <v>78.839590443686006</v>
      </c>
      <c r="R12" s="11">
        <f>'Compare w prev (colored)'!R12</f>
        <v>91.808873720136518</v>
      </c>
      <c r="S12" s="11">
        <f>'Compare w prev (colored)'!S12</f>
        <v>77.440273037542667</v>
      </c>
      <c r="T12" s="11">
        <f>'Compare w prev (colored)'!T12</f>
        <v>92.150170648464169</v>
      </c>
      <c r="U12" s="11">
        <f>'Compare w prev (colored)'!U12</f>
        <v>93.412969283276453</v>
      </c>
      <c r="V12" s="11">
        <f>'Compare w prev (colored)'!V12</f>
        <v>92.798634812286679</v>
      </c>
      <c r="W12" s="11">
        <f>'Compare w prev (colored)'!W12</f>
        <v>93.515358361774744</v>
      </c>
      <c r="X12" s="11">
        <f>'Compare w prev (colored)'!X12</f>
        <v>91.808873720136518</v>
      </c>
      <c r="Y12" s="11"/>
      <c r="Z12" s="11">
        <f>'Compare w prev (colored)'!Z12</f>
        <v>89.761092150170654</v>
      </c>
      <c r="AA12" s="11">
        <f>'Compare w prev (colored)'!AA12</f>
        <v>93.105802047781566</v>
      </c>
      <c r="AB12" s="11">
        <f>'Compare w prev (colored)'!AB12</f>
        <v>92.150170648464169</v>
      </c>
      <c r="AC12" s="11">
        <f>'Compare w prev (colored)'!AC12</f>
        <v>88.703071672354938</v>
      </c>
      <c r="AD12" s="11">
        <f>'Compare w prev (colored)'!AD12</f>
        <v>75.085324232081902</v>
      </c>
      <c r="AE12" s="11">
        <f>'Compare w prev (colored)'!AE12</f>
        <v>89.590443686006822</v>
      </c>
      <c r="AF12" s="11">
        <f>'Compare w prev (colored)'!AF12</f>
        <v>92.150170648464169</v>
      </c>
      <c r="AG12" s="11">
        <f>'Compare w prev (colored)'!AG12</f>
        <v>92.491467576791806</v>
      </c>
      <c r="AH12" s="11">
        <f>'Compare w prev (colored)'!AH12</f>
        <v>93.856655290102381</v>
      </c>
      <c r="AI12" s="11">
        <f>'Compare w prev (colored)'!AI12</f>
        <v>90.716723549488052</v>
      </c>
      <c r="AJ12" s="11">
        <f>'Compare w prev (colored)'!AJ12</f>
        <v>89.078498293515366</v>
      </c>
      <c r="AK12" s="11">
        <f>'Compare w prev (colored)'!AK12</f>
        <v>93.208191126279871</v>
      </c>
      <c r="AL12" s="11">
        <f>'Compare w prev (colored)'!AL12</f>
        <v>91.467576791808867</v>
      </c>
      <c r="AM12" s="11">
        <f>'Compare w prev (colored)'!AM12</f>
        <v>93.174061433447093</v>
      </c>
      <c r="AN12" s="11">
        <f>'Compare w prev (colored)'!AN12</f>
        <v>90.204778156996596</v>
      </c>
      <c r="AO12" s="11">
        <f>'Compare w prev (colored)'!AO12</f>
        <v>93.856655290102381</v>
      </c>
      <c r="AP12" s="11">
        <f>'Compare w prev (colored)'!AP12</f>
        <v>92.491467576791806</v>
      </c>
      <c r="AQ12" s="11">
        <f>'Compare w prev (colored)'!AQ12</f>
        <v>90.443686006825942</v>
      </c>
      <c r="AR12" s="11">
        <f>'Compare w prev (colored)'!AR12</f>
        <v>92.491467576791806</v>
      </c>
      <c r="AS12" s="11">
        <f>'Compare w prev (colored)'!AS12</f>
        <v>92.832764505119457</v>
      </c>
      <c r="AT12" s="9"/>
    </row>
    <row r="13" spans="1:46">
      <c r="A13" s="8" t="s">
        <v>40</v>
      </c>
      <c r="B13" s="11">
        <f>'Compare w prev (colored)'!B13</f>
        <v>53.888888888888886</v>
      </c>
      <c r="C13" s="11">
        <f>'Compare w prev (colored)'!C13</f>
        <v>53.888888888888886</v>
      </c>
      <c r="D13" s="11">
        <f>'Compare w prev (colored)'!D13</f>
        <v>54.444444444444443</v>
      </c>
      <c r="E13" s="11">
        <f>'Compare w prev (colored)'!E13</f>
        <v>55.555555555555557</v>
      </c>
      <c r="F13" s="11">
        <f>'Compare w prev (colored)'!F13</f>
        <v>50.44444444444445</v>
      </c>
      <c r="G13" s="11">
        <f>'Compare w prev (colored)'!G13</f>
        <v>54.444444444444443</v>
      </c>
      <c r="H13" s="11">
        <f>'Compare w prev (colored)'!H13</f>
        <v>58.888888888888893</v>
      </c>
      <c r="I13" s="11">
        <f>'Compare w prev (colored)'!I13</f>
        <v>58.888888888888893</v>
      </c>
      <c r="J13" s="11">
        <f>'Compare w prev (colored)'!J13</f>
        <v>56.722222222222221</v>
      </c>
      <c r="K13" s="11">
        <f>'Compare w prev (colored)'!K13</f>
        <v>55.000000000000007</v>
      </c>
      <c r="L13" s="11">
        <f>'Compare w prev (colored)'!L13</f>
        <v>51.666666666666671</v>
      </c>
      <c r="M13" s="11">
        <f>'Compare w prev (colored)'!M13</f>
        <v>57.222222222222221</v>
      </c>
      <c r="N13" s="11">
        <f>'Compare w prev (colored)'!N13</f>
        <v>51.111111111111107</v>
      </c>
      <c r="O13" s="11">
        <f>'Compare w prev (colored)'!O13</f>
        <v>59.444444444444443</v>
      </c>
      <c r="P13" s="11">
        <f>'Compare w prev (colored)'!P13</f>
        <v>55.000000000000007</v>
      </c>
      <c r="Q13" s="11">
        <f>'Compare w prev (colored)'!Q13</f>
        <v>58.333333333333336</v>
      </c>
      <c r="R13" s="11">
        <f>'Compare w prev (colored)'!R13</f>
        <v>57.222222222222221</v>
      </c>
      <c r="S13" s="11">
        <f>'Compare w prev (colored)'!S13</f>
        <v>52.833333333333329</v>
      </c>
      <c r="T13" s="11">
        <f>'Compare w prev (colored)'!T13</f>
        <v>60</v>
      </c>
      <c r="U13" s="11">
        <f>'Compare w prev (colored)'!U13</f>
        <v>60.277777777777771</v>
      </c>
      <c r="V13" s="11">
        <f>'Compare w prev (colored)'!V13</f>
        <v>61.722222222222221</v>
      </c>
      <c r="W13" s="11">
        <f>'Compare w prev (colored)'!W13</f>
        <v>60</v>
      </c>
      <c r="X13" s="11">
        <f>'Compare w prev (colored)'!X13</f>
        <v>61.666666666666671</v>
      </c>
      <c r="Y13" s="11"/>
      <c r="Z13" s="11">
        <f>'Compare w prev (colored)'!Z13</f>
        <v>63.888888888888886</v>
      </c>
      <c r="AA13" s="11">
        <f>'Compare w prev (colored)'!AA13</f>
        <v>65.611111111111114</v>
      </c>
      <c r="AB13" s="11">
        <f>'Compare w prev (colored)'!AB13</f>
        <v>60.55555555555555</v>
      </c>
      <c r="AC13" s="11">
        <f>'Compare w prev (colored)'!AC13</f>
        <v>54.388888888888886</v>
      </c>
      <c r="AD13" s="11">
        <f>'Compare w prev (colored)'!AD13</f>
        <v>59.444444444444443</v>
      </c>
      <c r="AE13" s="11">
        <f>'Compare w prev (colored)'!AE13</f>
        <v>55.000000000000007</v>
      </c>
      <c r="AF13" s="11">
        <f>'Compare w prev (colored)'!AF13</f>
        <v>60</v>
      </c>
      <c r="AG13" s="11">
        <f>'Compare w prev (colored)'!AG13</f>
        <v>58.277777777777786</v>
      </c>
      <c r="AH13" s="11">
        <f>'Compare w prev (colored)'!AH13</f>
        <v>61.666666666666671</v>
      </c>
      <c r="AI13" s="11">
        <f>'Compare w prev (colored)'!AI13</f>
        <v>57.777777777777771</v>
      </c>
      <c r="AJ13" s="11">
        <f>'Compare w prev (colored)'!AJ13</f>
        <v>61.666666666666671</v>
      </c>
      <c r="AK13" s="11">
        <f>'Compare w prev (colored)'!AK13</f>
        <v>59.388888888888893</v>
      </c>
      <c r="AL13" s="11">
        <f>'Compare w prev (colored)'!AL13</f>
        <v>51.666666666666671</v>
      </c>
      <c r="AM13" s="11">
        <f>'Compare w prev (colored)'!AM13</f>
        <v>60.55555555555555</v>
      </c>
      <c r="AN13" s="11">
        <f>'Compare w prev (colored)'!AN13</f>
        <v>54.388888888888886</v>
      </c>
      <c r="AO13" s="11">
        <f>'Compare w prev (colored)'!AO13</f>
        <v>58.888888888888893</v>
      </c>
      <c r="AP13" s="11">
        <f>'Compare w prev (colored)'!AP13</f>
        <v>57.777777777777771</v>
      </c>
      <c r="AQ13" s="11">
        <f>'Compare w prev (colored)'!AQ13</f>
        <v>58.333333333333336</v>
      </c>
      <c r="AR13" s="11">
        <f>'Compare w prev (colored)'!AR13</f>
        <v>66.722222222222214</v>
      </c>
      <c r="AS13" s="11">
        <f>'Compare w prev (colored)'!AS13</f>
        <v>62.222222222222221</v>
      </c>
      <c r="AT13" s="9"/>
    </row>
    <row r="14" spans="1:46">
      <c r="A14" s="8" t="s">
        <v>41</v>
      </c>
      <c r="B14" s="11">
        <f>'Compare w prev (colored)'!B14</f>
        <v>96.298317417007723</v>
      </c>
      <c r="C14" s="11">
        <f>'Compare w prev (colored)'!C14</f>
        <v>97.226011823556163</v>
      </c>
      <c r="D14" s="11">
        <f>'Compare w prev (colored)'!D14</f>
        <v>99.199636198271946</v>
      </c>
      <c r="E14" s="11">
        <f>'Compare w prev (colored)'!E14</f>
        <v>99.226921327876312</v>
      </c>
      <c r="F14" s="11"/>
      <c r="G14" s="11">
        <f>'Compare w prev (colored)'!G14</f>
        <v>99.13597089586176</v>
      </c>
      <c r="H14" s="11">
        <f>'Compare w prev (colored)'!H14</f>
        <v>98.899499772623926</v>
      </c>
      <c r="I14" s="11">
        <f>'Compare w prev (colored)'!I14</f>
        <v>99.13597089586176</v>
      </c>
      <c r="J14" s="11">
        <f>'Compare w prev (colored)'!J14</f>
        <v>99.299681673487953</v>
      </c>
      <c r="K14" s="11">
        <f>'Compare w prev (colored)'!K14</f>
        <v>99.045020463847194</v>
      </c>
      <c r="L14" s="11">
        <f>'Compare w prev (colored)'!L14</f>
        <v>96.680309231468854</v>
      </c>
      <c r="M14" s="11">
        <f>'Compare w prev (colored)'!M14</f>
        <v>96.953160527512509</v>
      </c>
      <c r="N14" s="11">
        <f>'Compare w prev (colored)'!N14</f>
        <v>100</v>
      </c>
      <c r="O14" s="11">
        <f>'Compare w prev (colored)'!O14</f>
        <v>98.226466575716231</v>
      </c>
      <c r="P14" s="11">
        <f>'Compare w prev (colored)'!P14</f>
        <v>97.398817644383811</v>
      </c>
      <c r="Q14" s="11">
        <f>'Compare w prev (colored)'!Q14</f>
        <v>99.454297407912691</v>
      </c>
      <c r="R14" s="11">
        <f>'Compare w prev (colored)'!R14</f>
        <v>98.999545247839933</v>
      </c>
      <c r="S14" s="11">
        <f>'Compare w prev (colored)'!S14</f>
        <v>98.35834470213733</v>
      </c>
      <c r="T14" s="11">
        <f>'Compare w prev (colored)'!T14</f>
        <v>99.545247839927242</v>
      </c>
      <c r="U14" s="11">
        <f>'Compare w prev (colored)'!U14</f>
        <v>98.699408822191913</v>
      </c>
      <c r="V14" s="11">
        <f>'Compare w prev (colored)'!V14</f>
        <v>98.099135970895858</v>
      </c>
      <c r="W14" s="11">
        <f>'Compare w prev (colored)'!W14</f>
        <v>99.499772623919966</v>
      </c>
      <c r="X14" s="11">
        <f>'Compare w prev (colored)'!X14</f>
        <v>99.909049567985448</v>
      </c>
      <c r="Y14" s="11"/>
      <c r="Z14" s="11">
        <f>'Compare w prev (colored)'!Z14</f>
        <v>98.044565711687127</v>
      </c>
      <c r="AA14" s="11">
        <f>'Compare w prev (colored)'!AA14</f>
        <v>99.799909049567987</v>
      </c>
      <c r="AB14" s="11">
        <f>'Compare w prev (colored)'!AB14</f>
        <v>99.545247839927242</v>
      </c>
      <c r="AC14" s="11">
        <f>'Compare w prev (colored)'!AC14</f>
        <v>100</v>
      </c>
      <c r="AD14" s="11">
        <f>'Compare w prev (colored)'!AD14</f>
        <v>99.454297407912691</v>
      </c>
      <c r="AE14" s="11">
        <f>'Compare w prev (colored)'!AE14</f>
        <v>100</v>
      </c>
      <c r="AF14" s="11">
        <f>'Compare w prev (colored)'!AF14</f>
        <v>98.999545247839933</v>
      </c>
      <c r="AG14" s="11">
        <f>'Compare w prev (colored)'!AG14</f>
        <v>97.899045020463859</v>
      </c>
      <c r="AH14" s="11">
        <f>'Compare w prev (colored)'!AH14</f>
        <v>98.863119599818091</v>
      </c>
      <c r="AI14" s="11">
        <f>'Compare w prev (colored)'!AI14</f>
        <v>99.68167348794907</v>
      </c>
      <c r="AJ14" s="11">
        <f>'Compare w prev (colored)'!AJ14</f>
        <v>98.817644383810816</v>
      </c>
      <c r="AK14" s="11">
        <f>'Compare w prev (colored)'!AK14</f>
        <v>99.199636198271946</v>
      </c>
      <c r="AL14" s="11">
        <f>'Compare w prev (colored)'!AL14</f>
        <v>99.363346975898139</v>
      </c>
      <c r="AM14" s="11">
        <f>'Compare w prev (colored)'!AM14</f>
        <v>99.590723055934518</v>
      </c>
      <c r="AN14" s="11">
        <f>'Compare w prev (colored)'!AN14</f>
        <v>95.998180991359703</v>
      </c>
      <c r="AO14" s="11">
        <f>'Compare w prev (colored)'!AO14</f>
        <v>99.317871759890863</v>
      </c>
      <c r="AP14" s="11">
        <f>'Compare w prev (colored)'!AP14</f>
        <v>99.818099135970897</v>
      </c>
      <c r="AQ14" s="11">
        <f>'Compare w prev (colored)'!AQ14</f>
        <v>99.863574351978173</v>
      </c>
      <c r="AR14" s="11">
        <f>'Compare w prev (colored)'!AR14</f>
        <v>98.999545247839933</v>
      </c>
      <c r="AS14" s="11">
        <f>'Compare w prev (colored)'!AS14</f>
        <v>95.8162801273306</v>
      </c>
      <c r="AT14" s="9"/>
    </row>
    <row r="15" spans="1:46">
      <c r="A15" s="8" t="s">
        <v>42</v>
      </c>
      <c r="B15" s="11">
        <f>'Compare w prev (colored)'!B15</f>
        <v>90.3125</v>
      </c>
      <c r="C15" s="11">
        <f>'Compare w prev (colored)'!C15</f>
        <v>90.3125</v>
      </c>
      <c r="D15" s="11">
        <f>'Compare w prev (colored)'!D15</f>
        <v>94.40625</v>
      </c>
      <c r="E15" s="11">
        <f>'Compare w prev (colored)'!E15</f>
        <v>94.0625</v>
      </c>
      <c r="F15" s="11">
        <f>'Compare w prev (colored)'!F15</f>
        <v>94.875000000000014</v>
      </c>
      <c r="G15" s="11">
        <f>'Compare w prev (colored)'!G15</f>
        <v>94.0625</v>
      </c>
      <c r="H15" s="11">
        <f>'Compare w prev (colored)'!H15</f>
        <v>90.906249999999986</v>
      </c>
      <c r="I15" s="11">
        <f>'Compare w prev (colored)'!I15</f>
        <v>94.375</v>
      </c>
      <c r="J15" s="11">
        <f>'Compare w prev (colored)'!J15</f>
        <v>94.093750000000014</v>
      </c>
      <c r="K15" s="11">
        <f>'Compare w prev (colored)'!K15</f>
        <v>94.0625</v>
      </c>
      <c r="L15" s="11">
        <f>'Compare w prev (colored)'!L15</f>
        <v>82.09375</v>
      </c>
      <c r="M15" s="11">
        <f>'Compare w prev (colored)'!M15</f>
        <v>82.8125</v>
      </c>
      <c r="N15" s="11">
        <f>'Compare w prev (colored)'!N15</f>
        <v>80.3125</v>
      </c>
      <c r="O15" s="11">
        <f>'Compare w prev (colored)'!O15</f>
        <v>89.0625</v>
      </c>
      <c r="P15" s="11">
        <f>'Compare w prev (colored)'!P15</f>
        <v>82.312499999999986</v>
      </c>
      <c r="Q15" s="11">
        <f>'Compare w prev (colored)'!Q15</f>
        <v>83.125</v>
      </c>
      <c r="R15" s="11">
        <f>'Compare w prev (colored)'!R15</f>
        <v>85.3125</v>
      </c>
      <c r="S15" s="11">
        <f>'Compare w prev (colored)'!S15</f>
        <v>83.125</v>
      </c>
      <c r="T15" s="11">
        <f>'Compare w prev (colored)'!T15</f>
        <v>88.4375</v>
      </c>
      <c r="U15" s="11">
        <f>'Compare w prev (colored)'!U15</f>
        <v>86.6875</v>
      </c>
      <c r="V15" s="11">
        <f>'Compare w prev (colored)'!V15</f>
        <v>85.90625</v>
      </c>
      <c r="W15" s="11">
        <f>'Compare w prev (colored)'!W15</f>
        <v>88.4375</v>
      </c>
      <c r="X15" s="11">
        <f>'Compare w prev (colored)'!X15</f>
        <v>91.25</v>
      </c>
      <c r="Y15" s="11"/>
      <c r="Z15" s="11">
        <f>'Compare w prev (colored)'!Z15</f>
        <v>94.375</v>
      </c>
      <c r="AA15" s="11">
        <f>'Compare w prev (colored)'!AA15</f>
        <v>88.1875</v>
      </c>
      <c r="AB15" s="11">
        <f>'Compare w prev (colored)'!AB15</f>
        <v>90.625</v>
      </c>
      <c r="AC15" s="11">
        <f>'Compare w prev (colored)'!AC15</f>
        <v>85.3125</v>
      </c>
      <c r="AD15" s="11">
        <f>'Compare w prev (colored)'!AD15</f>
        <v>79.6875</v>
      </c>
      <c r="AE15" s="11">
        <f>'Compare w prev (colored)'!AE15</f>
        <v>85</v>
      </c>
      <c r="AF15" s="11">
        <f>'Compare w prev (colored)'!AF15</f>
        <v>89.6875</v>
      </c>
      <c r="AG15" s="11">
        <f>'Compare w prev (colored)'!AG15</f>
        <v>85.3125</v>
      </c>
      <c r="AH15" s="11">
        <f>'Compare w prev (colored)'!AH15</f>
        <v>88.4375</v>
      </c>
      <c r="AI15" s="11">
        <f>'Compare w prev (colored)'!AI15</f>
        <v>85.8125</v>
      </c>
      <c r="AJ15" s="11">
        <f>'Compare w prev (colored)'!AJ15</f>
        <v>89.375</v>
      </c>
      <c r="AK15" s="11">
        <f>'Compare w prev (colored)'!AK15</f>
        <v>88.09375</v>
      </c>
      <c r="AL15" s="11">
        <f>'Compare w prev (colored)'!AL15</f>
        <v>84.375</v>
      </c>
      <c r="AM15" s="11">
        <f>'Compare w prev (colored)'!AM15</f>
        <v>89.0625</v>
      </c>
      <c r="AN15" s="11">
        <f>'Compare w prev (colored)'!AN15</f>
        <v>85.90625</v>
      </c>
      <c r="AO15" s="11">
        <f>'Compare w prev (colored)'!AO15</f>
        <v>90</v>
      </c>
      <c r="AP15" s="11">
        <f>'Compare w prev (colored)'!AP15</f>
        <v>91.875</v>
      </c>
      <c r="AQ15" s="11">
        <f>'Compare w prev (colored)'!AQ15</f>
        <v>88.4375</v>
      </c>
      <c r="AR15" s="11">
        <f>'Compare w prev (colored)'!AR15</f>
        <v>93.8125</v>
      </c>
      <c r="AS15" s="11">
        <f>'Compare w prev (colored)'!AS15</f>
        <v>95.3125</v>
      </c>
      <c r="AT15" s="9"/>
    </row>
    <row r="16" spans="1:46">
      <c r="A16" s="8" t="s">
        <v>3</v>
      </c>
      <c r="B16" s="11"/>
      <c r="C16" s="11">
        <f>'Compare w prev (colored)'!C16</f>
        <v>98.666666666666671</v>
      </c>
      <c r="D16" s="11">
        <f>'Compare w prev (colored)'!D16</f>
        <v>99.333333333333329</v>
      </c>
      <c r="E16" s="11">
        <f>'Compare w prev (colored)'!E16</f>
        <v>99.333333333333329</v>
      </c>
      <c r="F16" s="11">
        <f>'Compare w prev (colored)'!F16</f>
        <v>99.566666666666663</v>
      </c>
      <c r="G16" s="11">
        <f>'Compare w prev (colored)'!G16</f>
        <v>99.333333333333329</v>
      </c>
      <c r="H16" s="11">
        <f>'Compare w prev (colored)'!H16</f>
        <v>99</v>
      </c>
      <c r="I16" s="11">
        <f>'Compare w prev (colored)'!I16</f>
        <v>99.333333333333329</v>
      </c>
      <c r="J16" s="11">
        <f>'Compare w prev (colored)'!J16</f>
        <v>99.333333333333329</v>
      </c>
      <c r="K16" s="11">
        <f>'Compare w prev (colored)'!K16</f>
        <v>99.333333333333329</v>
      </c>
      <c r="L16" s="11">
        <f>'Compare w prev (colored)'!L16</f>
        <v>97.333333333333343</v>
      </c>
      <c r="M16" s="11">
        <f>'Compare w prev (colored)'!M16</f>
        <v>97.666666666666671</v>
      </c>
      <c r="N16" s="11"/>
      <c r="O16" s="11">
        <f>'Compare w prev (colored)'!O16</f>
        <v>98.333333333333329</v>
      </c>
      <c r="P16" s="11"/>
      <c r="Q16" s="11">
        <f>'Compare w prev (colored)'!Q16</f>
        <v>99</v>
      </c>
      <c r="R16" s="11"/>
      <c r="S16" s="11">
        <f>'Compare w prev (colored)'!S16</f>
        <v>96.166666666666671</v>
      </c>
      <c r="T16" s="11">
        <f>'Compare w prev (colored)'!T16</f>
        <v>98.666666666666671</v>
      </c>
      <c r="U16" s="11"/>
      <c r="V16" s="11"/>
      <c r="W16" s="11">
        <f>'Compare w prev (colored)'!W16</f>
        <v>98.666666666666671</v>
      </c>
      <c r="X16" s="11">
        <f>'Compare w prev (colored)'!X16</f>
        <v>99</v>
      </c>
      <c r="Y16" s="11"/>
      <c r="Z16" s="11">
        <f>'Compare w prev (colored)'!Z16</f>
        <v>99.333333333333329</v>
      </c>
      <c r="AA16" s="11"/>
      <c r="AB16" s="11">
        <f>'Compare w prev (colored)'!AB16</f>
        <v>99</v>
      </c>
      <c r="AC16" s="11"/>
      <c r="AD16" s="11">
        <f>'Compare w prev (colored)'!AD16</f>
        <v>92.333333333333329</v>
      </c>
      <c r="AE16" s="11"/>
      <c r="AF16" s="11">
        <f>'Compare w prev (colored)'!AF16</f>
        <v>98.666666666666671</v>
      </c>
      <c r="AG16" s="11">
        <f>'Compare w prev (colored)'!AG16</f>
        <v>98</v>
      </c>
      <c r="AH16" s="11">
        <f>'Compare w prev (colored)'!AH16</f>
        <v>98.666666666666671</v>
      </c>
      <c r="AI16" s="11">
        <f>'Compare w prev (colored)'!AI16</f>
        <v>97.666666666666671</v>
      </c>
      <c r="AJ16" s="11">
        <f>'Compare w prev (colored)'!AJ16</f>
        <v>98.666666666666671</v>
      </c>
      <c r="AK16" s="11"/>
      <c r="AL16" s="11">
        <f>'Compare w prev (colored)'!AL16</f>
        <v>93.333333333333329</v>
      </c>
      <c r="AM16" s="11">
        <f>'Compare w prev (colored)'!AM16</f>
        <v>98.666666666666671</v>
      </c>
      <c r="AN16" s="11"/>
      <c r="AO16" s="11">
        <f>'Compare w prev (colored)'!AO16</f>
        <v>99</v>
      </c>
      <c r="AP16" s="11">
        <f>'Compare w prev (colored)'!AP16</f>
        <v>99.666666666666671</v>
      </c>
      <c r="AQ16" s="11">
        <f>'Compare w prev (colored)'!AQ16</f>
        <v>99</v>
      </c>
      <c r="AR16" s="11">
        <f>'Compare w prev (colored)'!AR16</f>
        <v>97</v>
      </c>
      <c r="AS16" s="11">
        <f>'Compare w prev (colored)'!AS16</f>
        <v>99.333333333333329</v>
      </c>
      <c r="AT16" s="9"/>
    </row>
    <row r="17" spans="1:46">
      <c r="A17" s="8" t="s">
        <v>4</v>
      </c>
      <c r="B17" s="11"/>
      <c r="C17" s="11">
        <f>'Compare w prev (colored)'!C17</f>
        <v>20</v>
      </c>
      <c r="D17" s="11">
        <f>'Compare w prev (colored)'!D17</f>
        <v>20</v>
      </c>
      <c r="E17" s="11">
        <f>'Compare w prev (colored)'!E17</f>
        <v>6.666666666666667</v>
      </c>
      <c r="F17" s="11">
        <f>'Compare w prev (colored)'!F17</f>
        <v>28.000000000000004</v>
      </c>
      <c r="G17" s="11">
        <f>'Compare w prev (colored)'!G17</f>
        <v>20</v>
      </c>
      <c r="H17" s="11">
        <f>'Compare w prev (colored)'!H17</f>
        <v>13.333333333333334</v>
      </c>
      <c r="I17" s="11">
        <f>'Compare w prev (colored)'!I17</f>
        <v>26.666666666666668</v>
      </c>
      <c r="J17" s="11">
        <f>'Compare w prev (colored)'!J17</f>
        <v>6.666666666666667</v>
      </c>
      <c r="K17" s="11">
        <f>'Compare w prev (colored)'!K17</f>
        <v>6.666666666666667</v>
      </c>
      <c r="L17" s="11">
        <f>'Compare w prev (colored)'!L17</f>
        <v>46.666666666666664</v>
      </c>
      <c r="M17" s="11">
        <f>'Compare w prev (colored)'!M17</f>
        <v>53.333333333333336</v>
      </c>
      <c r="N17" s="11"/>
      <c r="O17" s="11">
        <f>'Compare w prev (colored)'!O17</f>
        <v>73.333333333333329</v>
      </c>
      <c r="P17" s="11"/>
      <c r="Q17" s="11">
        <f>'Compare w prev (colored)'!Q17</f>
        <v>60</v>
      </c>
      <c r="R17" s="11"/>
      <c r="S17" s="11">
        <f>'Compare w prev (colored)'!S17</f>
        <v>33.333333333333329</v>
      </c>
      <c r="T17" s="11">
        <f>'Compare w prev (colored)'!T17</f>
        <v>66.666666666666657</v>
      </c>
      <c r="U17" s="11"/>
      <c r="V17" s="11"/>
      <c r="W17" s="11">
        <f>'Compare w prev (colored)'!W17</f>
        <v>73.333333333333329</v>
      </c>
      <c r="X17" s="11">
        <f>'Compare w prev (colored)'!X17</f>
        <v>40</v>
      </c>
      <c r="Y17" s="11"/>
      <c r="Z17" s="11">
        <f>'Compare w prev (colored)'!Z17</f>
        <v>66.666666666666657</v>
      </c>
      <c r="AA17" s="11"/>
      <c r="AB17" s="11">
        <f>'Compare w prev (colored)'!AB17</f>
        <v>66.666666666666657</v>
      </c>
      <c r="AC17" s="11"/>
      <c r="AD17" s="11">
        <f>'Compare w prev (colored)'!AD17</f>
        <v>73.333333333333329</v>
      </c>
      <c r="AE17" s="11"/>
      <c r="AF17" s="11">
        <f>'Compare w prev (colored)'!AF17</f>
        <v>80</v>
      </c>
      <c r="AG17" s="11">
        <f>'Compare w prev (colored)'!AG17</f>
        <v>46.666666666666664</v>
      </c>
      <c r="AH17" s="11">
        <f>'Compare w prev (colored)'!AH17</f>
        <v>73.333333333333329</v>
      </c>
      <c r="AI17" s="11">
        <f>'Compare w prev (colored)'!AI17</f>
        <v>53.333333333333336</v>
      </c>
      <c r="AJ17" s="11">
        <f>'Compare w prev (colored)'!AJ17</f>
        <v>80</v>
      </c>
      <c r="AK17" s="11"/>
      <c r="AL17" s="11">
        <f>'Compare w prev (colored)'!AL17</f>
        <v>33.333333333333329</v>
      </c>
      <c r="AM17" s="11">
        <f>'Compare w prev (colored)'!AM17</f>
        <v>66.666666666666657</v>
      </c>
      <c r="AN17" s="11"/>
      <c r="AO17" s="11">
        <f>'Compare w prev (colored)'!AO17</f>
        <v>66.666666666666657</v>
      </c>
      <c r="AP17" s="11">
        <f>'Compare w prev (colored)'!AP17</f>
        <v>33.333333333333329</v>
      </c>
      <c r="AQ17" s="11">
        <f>'Compare w prev (colored)'!AQ17</f>
        <v>46.666666666666664</v>
      </c>
      <c r="AR17" s="11">
        <f>'Compare w prev (colored)'!AR17</f>
        <v>67.333333333333329</v>
      </c>
      <c r="AS17" s="11">
        <f>'Compare w prev (colored)'!AS17</f>
        <v>66.666666666666657</v>
      </c>
      <c r="AT17" s="9"/>
    </row>
    <row r="18" spans="1:46">
      <c r="A18" s="8" t="s">
        <v>5</v>
      </c>
      <c r="B18" s="11"/>
      <c r="C18" s="11">
        <f>'Compare w prev (colored)'!C18</f>
        <v>97.5</v>
      </c>
      <c r="D18" s="11">
        <f>'Compare w prev (colored)'!D18</f>
        <v>100</v>
      </c>
      <c r="E18" s="11">
        <f>'Compare w prev (colored)'!E18</f>
        <v>100</v>
      </c>
      <c r="F18" s="11">
        <f>'Compare w prev (colored)'!F18</f>
        <v>99</v>
      </c>
      <c r="G18" s="11">
        <f>'Compare w prev (colored)'!G18</f>
        <v>100</v>
      </c>
      <c r="H18" s="11">
        <f>'Compare w prev (colored)'!H18</f>
        <v>100</v>
      </c>
      <c r="I18" s="11">
        <f>'Compare w prev (colored)'!I18</f>
        <v>100</v>
      </c>
      <c r="J18" s="11">
        <f>'Compare w prev (colored)'!J18</f>
        <v>100</v>
      </c>
      <c r="K18" s="11">
        <f>'Compare w prev (colored)'!K18</f>
        <v>100</v>
      </c>
      <c r="L18" s="11">
        <f>'Compare w prev (colored)'!L18</f>
        <v>85</v>
      </c>
      <c r="M18" s="11">
        <f>'Compare w prev (colored)'!M18</f>
        <v>87.5</v>
      </c>
      <c r="N18" s="11"/>
      <c r="O18" s="11">
        <f>'Compare w prev (colored)'!O18</f>
        <v>100</v>
      </c>
      <c r="P18" s="11"/>
      <c r="Q18" s="11">
        <f>'Compare w prev (colored)'!Q18</f>
        <v>100</v>
      </c>
      <c r="R18" s="11"/>
      <c r="S18" s="11">
        <f>'Compare w prev (colored)'!S18</f>
        <v>100</v>
      </c>
      <c r="T18" s="11">
        <f>'Compare w prev (colored)'!T18</f>
        <v>100</v>
      </c>
      <c r="U18" s="11"/>
      <c r="V18" s="11"/>
      <c r="W18" s="11">
        <f>'Compare w prev (colored)'!W18</f>
        <v>100</v>
      </c>
      <c r="X18" s="11">
        <f>'Compare w prev (colored)'!X18</f>
        <v>100</v>
      </c>
      <c r="Y18" s="11"/>
      <c r="Z18" s="11">
        <f>'Compare w prev (colored)'!Z18</f>
        <v>100</v>
      </c>
      <c r="AA18" s="11"/>
      <c r="AB18" s="11">
        <f>'Compare w prev (colored)'!AB18</f>
        <v>100</v>
      </c>
      <c r="AC18" s="11"/>
      <c r="AD18" s="11">
        <f>'Compare w prev (colored)'!AD18</f>
        <v>95</v>
      </c>
      <c r="AE18" s="11"/>
      <c r="AF18" s="11">
        <f>'Compare w prev (colored)'!AF18</f>
        <v>100</v>
      </c>
      <c r="AG18" s="11">
        <f>'Compare w prev (colored)'!AG18</f>
        <v>90</v>
      </c>
      <c r="AH18" s="11">
        <f>'Compare w prev (colored)'!AH18</f>
        <v>100</v>
      </c>
      <c r="AI18" s="11">
        <f>'Compare w prev (colored)'!AI18</f>
        <v>92.5</v>
      </c>
      <c r="AJ18" s="11">
        <f>'Compare w prev (colored)'!AJ18</f>
        <v>85</v>
      </c>
      <c r="AK18" s="11"/>
      <c r="AL18" s="11">
        <f>'Compare w prev (colored)'!AL18</f>
        <v>92.5</v>
      </c>
      <c r="AM18" s="11">
        <f>'Compare w prev (colored)'!AM18</f>
        <v>100</v>
      </c>
      <c r="AN18" s="11"/>
      <c r="AO18" s="11">
        <f>'Compare w prev (colored)'!AO18</f>
        <v>97.5</v>
      </c>
      <c r="AP18" s="11">
        <f>'Compare w prev (colored)'!AP18</f>
        <v>100</v>
      </c>
      <c r="AQ18" s="11">
        <f>'Compare w prev (colored)'!AQ18</f>
        <v>100</v>
      </c>
      <c r="AR18" s="11">
        <f>'Compare w prev (colored)'!AR18</f>
        <v>100</v>
      </c>
      <c r="AS18" s="11">
        <f>'Compare w prev (colored)'!AS18</f>
        <v>100</v>
      </c>
      <c r="AT18" s="9"/>
    </row>
    <row r="19" spans="1:46">
      <c r="A19" s="8" t="s">
        <v>43</v>
      </c>
      <c r="B19" s="11"/>
      <c r="C19" s="11">
        <f>'Compare w prev (colored)'!C19</f>
        <v>98.816155988857929</v>
      </c>
      <c r="D19" s="11">
        <f>'Compare w prev (colored)'!D19</f>
        <v>98.753481894150411</v>
      </c>
      <c r="E19" s="11">
        <f>'Compare w prev (colored)'!E19</f>
        <v>99.30362116991644</v>
      </c>
      <c r="F19" s="11"/>
      <c r="G19" s="11">
        <f>'Compare w prev (colored)'!G19</f>
        <v>99.30362116991644</v>
      </c>
      <c r="H19" s="11">
        <f>'Compare w prev (colored)'!H19</f>
        <v>98.600278551532043</v>
      </c>
      <c r="I19" s="11">
        <f>'Compare w prev (colored)'!I19</f>
        <v>99.164345403899716</v>
      </c>
      <c r="J19" s="11">
        <f>'Compare w prev (colored)'!J19</f>
        <v>99.199164345403901</v>
      </c>
      <c r="K19" s="11">
        <f>'Compare w prev (colored)'!K19</f>
        <v>99.373259052924794</v>
      </c>
      <c r="L19" s="11">
        <f>'Compare w prev (colored)'!L19</f>
        <v>97.346796657381617</v>
      </c>
      <c r="M19" s="11">
        <f>'Compare w prev (colored)'!M19</f>
        <v>98.119777158774369</v>
      </c>
      <c r="N19" s="11"/>
      <c r="O19" s="11">
        <f>'Compare w prev (colored)'!O19</f>
        <v>98.955431754874652</v>
      </c>
      <c r="P19" s="11"/>
      <c r="Q19" s="11">
        <f>'Compare w prev (colored)'!Q19</f>
        <v>97.98050139275766</v>
      </c>
      <c r="R19" s="11"/>
      <c r="S19" s="11">
        <f>'Compare w prev (colored)'!S19</f>
        <v>97.98050139275766</v>
      </c>
      <c r="T19" s="11">
        <f>'Compare w prev (colored)'!T19</f>
        <v>98.746518105849574</v>
      </c>
      <c r="U19" s="11"/>
      <c r="V19" s="11"/>
      <c r="W19" s="11">
        <f>'Compare w prev (colored)'!W19</f>
        <v>99.30362116991644</v>
      </c>
      <c r="X19" s="11"/>
      <c r="Y19" s="11">
        <f>'Compare w prev (colored)'!Y19</f>
        <v>98.746518105849574</v>
      </c>
      <c r="Z19" s="11">
        <f>'Compare w prev (colored)'!Z19</f>
        <v>99.164345403899716</v>
      </c>
      <c r="AA19" s="11"/>
      <c r="AB19" s="11">
        <f>'Compare w prev (colored)'!AB19</f>
        <v>99.373259052924794</v>
      </c>
      <c r="AC19" s="11"/>
      <c r="AD19" s="11">
        <f>'Compare w prev (colored)'!AD19</f>
        <v>97.284122562674085</v>
      </c>
      <c r="AE19" s="11"/>
      <c r="AF19" s="11">
        <f>'Compare w prev (colored)'!AF19</f>
        <v>98.467966573816156</v>
      </c>
      <c r="AG19" s="11">
        <f>'Compare w prev (colored)'!AG19</f>
        <v>98.328690807799447</v>
      </c>
      <c r="AH19" s="11">
        <f>'Compare w prev (colored)'!AH19</f>
        <v>98.955431754874652</v>
      </c>
      <c r="AI19" s="11">
        <f>'Compare w prev (colored)'!AI19</f>
        <v>97.346796657381617</v>
      </c>
      <c r="AJ19" s="11">
        <f>'Compare w prev (colored)'!AJ19</f>
        <v>98.398328690807801</v>
      </c>
      <c r="AK19" s="11"/>
      <c r="AL19" s="11">
        <f>'Compare w prev (colored)'!AL19</f>
        <v>98.259052924791092</v>
      </c>
      <c r="AM19" s="11">
        <f>'Compare w prev (colored)'!AM19</f>
        <v>99.373259052924794</v>
      </c>
      <c r="AN19" s="11"/>
      <c r="AO19" s="11">
        <f>'Compare w prev (colored)'!AO19</f>
        <v>98.885793871866284</v>
      </c>
      <c r="AP19" s="11">
        <f>'Compare w prev (colored)'!AP19</f>
        <v>99.791086350974936</v>
      </c>
      <c r="AQ19" s="11">
        <f>'Compare w prev (colored)'!AQ19</f>
        <v>99.791086350974936</v>
      </c>
      <c r="AR19" s="11">
        <f>'Compare w prev (colored)'!AR19</f>
        <v>98.99721448467966</v>
      </c>
      <c r="AS19" s="11">
        <f>'Compare w prev (colored)'!AS19</f>
        <v>99.512534818941504</v>
      </c>
      <c r="AT19" s="9"/>
    </row>
    <row r="20" spans="1:46">
      <c r="A20" s="8" t="s">
        <v>6</v>
      </c>
      <c r="B20" s="11"/>
      <c r="C20" s="11">
        <f>'Compare w prev (colored)'!C20</f>
        <v>100</v>
      </c>
      <c r="D20" s="11">
        <f>'Compare w prev (colored)'!D20</f>
        <v>98.611111111111114</v>
      </c>
      <c r="E20" s="11">
        <f>'Compare w prev (colored)'!E20</f>
        <v>100</v>
      </c>
      <c r="F20" s="11">
        <f>'Compare w prev (colored)'!F20</f>
        <v>100</v>
      </c>
      <c r="G20" s="11">
        <f>'Compare w prev (colored)'!G20</f>
        <v>100</v>
      </c>
      <c r="H20" s="11">
        <f>'Compare w prev (colored)'!H20</f>
        <v>98.611111111111114</v>
      </c>
      <c r="I20" s="11">
        <f>'Compare w prev (colored)'!I20</f>
        <v>100</v>
      </c>
      <c r="J20" s="11">
        <f>'Compare w prev (colored)'!J20</f>
        <v>98.611111111111114</v>
      </c>
      <c r="K20" s="11">
        <f>'Compare w prev (colored)'!K20</f>
        <v>98.611111111111114</v>
      </c>
      <c r="L20" s="11">
        <f>'Compare w prev (colored)'!L20</f>
        <v>91.666666666666657</v>
      </c>
      <c r="M20" s="11">
        <f>'Compare w prev (colored)'!M20</f>
        <v>91.666666666666657</v>
      </c>
      <c r="N20" s="11"/>
      <c r="O20" s="11">
        <f>'Compare w prev (colored)'!O20</f>
        <v>93.055555555555557</v>
      </c>
      <c r="P20" s="11"/>
      <c r="Q20" s="11">
        <f>'Compare w prev (colored)'!Q20</f>
        <v>97.222222222222214</v>
      </c>
      <c r="R20" s="11"/>
      <c r="S20" s="11">
        <f>'Compare w prev (colored)'!S20</f>
        <v>87.5</v>
      </c>
      <c r="T20" s="11">
        <f>'Compare w prev (colored)'!T20</f>
        <v>97.222222222222214</v>
      </c>
      <c r="U20" s="11"/>
      <c r="V20" s="11"/>
      <c r="W20" s="11">
        <f>'Compare w prev (colored)'!W20</f>
        <v>97.222222222222214</v>
      </c>
      <c r="X20" s="11">
        <f>'Compare w prev (colored)'!X20</f>
        <v>98.611111111111114</v>
      </c>
      <c r="Y20" s="11"/>
      <c r="Z20" s="11">
        <f>'Compare w prev (colored)'!Z20</f>
        <v>91.666666666666657</v>
      </c>
      <c r="AA20" s="11"/>
      <c r="AB20" s="11">
        <f>'Compare w prev (colored)'!AB20</f>
        <v>98.611111111111114</v>
      </c>
      <c r="AC20" s="11"/>
      <c r="AD20" s="11">
        <f>'Compare w prev (colored)'!AD20</f>
        <v>90.277777777777786</v>
      </c>
      <c r="AE20" s="11"/>
      <c r="AF20" s="11">
        <f>'Compare w prev (colored)'!AF20</f>
        <v>98.611111111111114</v>
      </c>
      <c r="AG20" s="11">
        <f>'Compare w prev (colored)'!AG20</f>
        <v>84.722222222222214</v>
      </c>
      <c r="AH20" s="11">
        <f>'Compare w prev (colored)'!AH20</f>
        <v>97.222222222222214</v>
      </c>
      <c r="AI20" s="11">
        <f>'Compare w prev (colored)'!AI20</f>
        <v>84.722222222222214</v>
      </c>
      <c r="AJ20" s="11">
        <f>'Compare w prev (colored)'!AJ20</f>
        <v>97.222222222222214</v>
      </c>
      <c r="AK20" s="11"/>
      <c r="AL20" s="11">
        <f>'Compare w prev (colored)'!AL20</f>
        <v>8.3333333333333321</v>
      </c>
      <c r="AM20" s="11">
        <f>'Compare w prev (colored)'!AM20</f>
        <v>97.222222222222214</v>
      </c>
      <c r="AN20" s="11"/>
      <c r="AO20" s="11">
        <f>'Compare w prev (colored)'!AO20</f>
        <v>97.222222222222214</v>
      </c>
      <c r="AP20" s="11">
        <f>'Compare w prev (colored)'!AP20</f>
        <v>100</v>
      </c>
      <c r="AQ20" s="11">
        <f>'Compare w prev (colored)'!AQ20</f>
        <v>100</v>
      </c>
      <c r="AR20" s="11">
        <f>'Compare w prev (colored)'!AR20</f>
        <v>98.611111111111114</v>
      </c>
      <c r="AS20" s="11">
        <f>'Compare w prev (colored)'!AS20</f>
        <v>100</v>
      </c>
      <c r="AT20" s="9"/>
    </row>
    <row r="21" spans="1:46">
      <c r="A21" s="8" t="s">
        <v>7</v>
      </c>
      <c r="B21" s="11"/>
      <c r="C21" s="11">
        <f>'Compare w prev (colored)'!C21</f>
        <v>57.999999999999993</v>
      </c>
      <c r="D21" s="11">
        <f>'Compare w prev (colored)'!D21</f>
        <v>52</v>
      </c>
      <c r="E21" s="11">
        <f>'Compare w prev (colored)'!E21</f>
        <v>52</v>
      </c>
      <c r="F21" s="11">
        <f>'Compare w prev (colored)'!F21</f>
        <v>49.8</v>
      </c>
      <c r="G21" s="11">
        <f>'Compare w prev (colored)'!G21</f>
        <v>70</v>
      </c>
      <c r="H21" s="11">
        <f>'Compare w prev (colored)'!H21</f>
        <v>68</v>
      </c>
      <c r="I21" s="11">
        <f>'Compare w prev (colored)'!I21</f>
        <v>68</v>
      </c>
      <c r="J21" s="11">
        <f>'Compare w prev (colored)'!J21</f>
        <v>64</v>
      </c>
      <c r="K21" s="11">
        <f>'Compare w prev (colored)'!K21</f>
        <v>60</v>
      </c>
      <c r="L21" s="11">
        <f>'Compare w prev (colored)'!L21</f>
        <v>62</v>
      </c>
      <c r="M21" s="11">
        <f>'Compare w prev (colored)'!M21</f>
        <v>66</v>
      </c>
      <c r="N21" s="11"/>
      <c r="O21" s="11">
        <f>'Compare w prev (colored)'!O21</f>
        <v>56.000000000000007</v>
      </c>
      <c r="P21" s="11"/>
      <c r="Q21" s="11">
        <f>'Compare w prev (colored)'!Q21</f>
        <v>68</v>
      </c>
      <c r="R21" s="11"/>
      <c r="S21" s="11">
        <f>'Compare w prev (colored)'!S21</f>
        <v>56.000000000000007</v>
      </c>
      <c r="T21" s="11">
        <f>'Compare w prev (colored)'!T21</f>
        <v>68</v>
      </c>
      <c r="U21" s="11"/>
      <c r="V21" s="11"/>
      <c r="W21" s="11">
        <f>'Compare w prev (colored)'!W21</f>
        <v>66</v>
      </c>
      <c r="X21" s="11"/>
      <c r="Y21" s="11">
        <f>'Compare w prev (colored)'!Y21</f>
        <v>24</v>
      </c>
      <c r="Z21" s="11">
        <f>'Compare w prev (colored)'!Z21</f>
        <v>74</v>
      </c>
      <c r="AA21" s="11"/>
      <c r="AB21" s="11">
        <f>'Compare w prev (colored)'!AB21</f>
        <v>74</v>
      </c>
      <c r="AC21" s="11"/>
      <c r="AD21" s="11">
        <f>'Compare w prev (colored)'!AD21</f>
        <v>42</v>
      </c>
      <c r="AE21" s="11"/>
      <c r="AF21" s="11">
        <f>'Compare w prev (colored)'!AF21</f>
        <v>42</v>
      </c>
      <c r="AG21" s="11">
        <f>'Compare w prev (colored)'!AG21</f>
        <v>44</v>
      </c>
      <c r="AH21" s="11">
        <f>'Compare w prev (colored)'!AH21</f>
        <v>72</v>
      </c>
      <c r="AI21" s="11">
        <f>'Compare w prev (colored)'!AI21</f>
        <v>24</v>
      </c>
      <c r="AJ21" s="11">
        <f>'Compare w prev (colored)'!AJ21</f>
        <v>40</v>
      </c>
      <c r="AK21" s="11"/>
      <c r="AL21" s="11">
        <f>'Compare w prev (colored)'!AL21</f>
        <v>50</v>
      </c>
      <c r="AM21" s="11">
        <f>'Compare w prev (colored)'!AM21</f>
        <v>66</v>
      </c>
      <c r="AN21" s="11"/>
      <c r="AO21" s="11">
        <f>'Compare w prev (colored)'!AO21</f>
        <v>60</v>
      </c>
      <c r="AP21" s="11">
        <f>'Compare w prev (colored)'!AP21</f>
        <v>68</v>
      </c>
      <c r="AQ21" s="11">
        <f>'Compare w prev (colored)'!AQ21</f>
        <v>76</v>
      </c>
      <c r="AR21" s="11">
        <f>'Compare w prev (colored)'!AR21</f>
        <v>62</v>
      </c>
      <c r="AS21" s="11">
        <f>'Compare w prev (colored)'!AS21</f>
        <v>50</v>
      </c>
      <c r="AT21" s="9"/>
    </row>
    <row r="22" spans="1:46">
      <c r="A22" s="8" t="s">
        <v>8</v>
      </c>
      <c r="B22" s="11"/>
      <c r="C22" s="11">
        <f>'Compare w prev (colored)'!C22</f>
        <v>61.832061068702295</v>
      </c>
      <c r="D22" s="11">
        <f>'Compare w prev (colored)'!D22</f>
        <v>78.625954198473281</v>
      </c>
      <c r="E22" s="11">
        <f>'Compare w prev (colored)'!E22</f>
        <v>91.603053435114504</v>
      </c>
      <c r="F22" s="11">
        <f>'Compare w prev (colored)'!F22</f>
        <v>89.465648854961827</v>
      </c>
      <c r="G22" s="11">
        <f>'Compare w prev (colored)'!G22</f>
        <v>97.70992366412213</v>
      </c>
      <c r="H22" s="11">
        <f>'Compare w prev (colored)'!H22</f>
        <v>98.473282442748086</v>
      </c>
      <c r="I22" s="11">
        <f>'Compare w prev (colored)'!I22</f>
        <v>98.473282442748086</v>
      </c>
      <c r="J22" s="11">
        <f>'Compare w prev (colored)'!J22</f>
        <v>96.18320610687023</v>
      </c>
      <c r="K22" s="11">
        <f>'Compare w prev (colored)'!K22</f>
        <v>98.473282442748086</v>
      </c>
      <c r="L22" s="11">
        <f>'Compare w prev (colored)'!L22</f>
        <v>41.221374045801525</v>
      </c>
      <c r="M22" s="11">
        <f>'Compare w prev (colored)'!M22</f>
        <v>42.748091603053432</v>
      </c>
      <c r="N22" s="11"/>
      <c r="O22" s="11">
        <f>'Compare w prev (colored)'!O22</f>
        <v>54.198473282442748</v>
      </c>
      <c r="P22" s="11"/>
      <c r="Q22" s="11">
        <f>'Compare w prev (colored)'!Q22</f>
        <v>66.412213740458014</v>
      </c>
      <c r="R22" s="11"/>
      <c r="S22" s="11">
        <f>'Compare w prev (colored)'!S22</f>
        <v>58.778625954198475</v>
      </c>
      <c r="T22" s="11">
        <f>'Compare w prev (colored)'!T22</f>
        <v>63.358778625954194</v>
      </c>
      <c r="U22" s="11"/>
      <c r="V22" s="11"/>
      <c r="W22" s="11">
        <f>'Compare w prev (colored)'!W22</f>
        <v>64.122137404580144</v>
      </c>
      <c r="X22" s="11"/>
      <c r="Y22" s="11">
        <f>'Compare w prev (colored)'!Y22</f>
        <v>41.221374045801525</v>
      </c>
      <c r="Z22" s="11">
        <f>'Compare w prev (colored)'!Z22</f>
        <v>81.679389312977108</v>
      </c>
      <c r="AA22" s="11"/>
      <c r="AB22" s="11">
        <f>'Compare w prev (colored)'!AB22</f>
        <v>61.068702290076338</v>
      </c>
      <c r="AC22" s="11"/>
      <c r="AD22" s="11">
        <f>'Compare w prev (colored)'!AD22</f>
        <v>63.358778625954194</v>
      </c>
      <c r="AE22" s="11"/>
      <c r="AF22" s="11">
        <f>'Compare w prev (colored)'!AF22</f>
        <v>70.992366412213741</v>
      </c>
      <c r="AG22" s="11">
        <f>'Compare w prev (colored)'!AG22</f>
        <v>54.961832061068705</v>
      </c>
      <c r="AH22" s="11">
        <f>'Compare w prev (colored)'!AH22</f>
        <v>58.015267175572518</v>
      </c>
      <c r="AI22" s="11">
        <f>'Compare w prev (colored)'!AI22</f>
        <v>54.198473282442748</v>
      </c>
      <c r="AJ22" s="11">
        <f>'Compare w prev (colored)'!AJ22</f>
        <v>57.251908396946561</v>
      </c>
      <c r="AK22" s="11"/>
      <c r="AL22" s="11">
        <f>'Compare w prev (colored)'!AL22</f>
        <v>48.091603053435115</v>
      </c>
      <c r="AM22" s="11">
        <f>'Compare w prev (colored)'!AM22</f>
        <v>66.412213740458014</v>
      </c>
      <c r="AN22" s="11"/>
      <c r="AO22" s="11">
        <f>'Compare w prev (colored)'!AO22</f>
        <v>59.541984732824424</v>
      </c>
      <c r="AP22" s="11">
        <f>'Compare w prev (colored)'!AP22</f>
        <v>83.969465648854964</v>
      </c>
      <c r="AQ22" s="11">
        <f>'Compare w prev (colored)'!AQ22</f>
        <v>82.44274809160305</v>
      </c>
      <c r="AR22" s="11">
        <f>'Compare w prev (colored)'!AR22</f>
        <v>87.022900763358777</v>
      </c>
      <c r="AS22" s="11">
        <f>'Compare w prev (colored)'!AS22</f>
        <v>88.549618320610691</v>
      </c>
      <c r="AT22" s="9"/>
    </row>
    <row r="23" spans="1:46">
      <c r="A23" s="8" t="s">
        <v>9</v>
      </c>
      <c r="B23" s="11"/>
      <c r="C23" s="11">
        <f>'Compare w prev (colored)'!C23</f>
        <v>96.376811594202891</v>
      </c>
      <c r="D23" s="11">
        <f>'Compare w prev (colored)'!D23</f>
        <v>98.550724637681171</v>
      </c>
      <c r="E23" s="11">
        <f>'Compare w prev (colored)'!E23</f>
        <v>99.275362318840578</v>
      </c>
      <c r="F23" s="11">
        <f>'Compare w prev (colored)'!F23</f>
        <v>99.782608695652158</v>
      </c>
      <c r="G23" s="11">
        <f>'Compare w prev (colored)'!G23</f>
        <v>100</v>
      </c>
      <c r="H23" s="11">
        <f>'Compare w prev (colored)'!H23</f>
        <v>100</v>
      </c>
      <c r="I23" s="11">
        <f>'Compare w prev (colored)'!I23</f>
        <v>100</v>
      </c>
      <c r="J23" s="11">
        <f>'Compare w prev (colored)'!J23</f>
        <v>100</v>
      </c>
      <c r="K23" s="11">
        <f>'Compare w prev (colored)'!K23</f>
        <v>100</v>
      </c>
      <c r="L23" s="11">
        <f>'Compare w prev (colored)'!L23</f>
        <v>60.144927536231883</v>
      </c>
      <c r="M23" s="11">
        <f>'Compare w prev (colored)'!M23</f>
        <v>65.217391304347828</v>
      </c>
      <c r="N23" s="11"/>
      <c r="O23" s="11">
        <f>'Compare w prev (colored)'!O23</f>
        <v>97.101449275362313</v>
      </c>
      <c r="P23" s="11"/>
      <c r="Q23" s="11">
        <f>'Compare w prev (colored)'!Q23</f>
        <v>66.666666666666657</v>
      </c>
      <c r="R23" s="11"/>
      <c r="S23" s="11">
        <f>'Compare w prev (colored)'!S23</f>
        <v>78.115942028985501</v>
      </c>
      <c r="T23" s="11">
        <f>'Compare w prev (colored)'!T23</f>
        <v>96.376811594202891</v>
      </c>
      <c r="U23" s="11"/>
      <c r="V23" s="11"/>
      <c r="W23" s="11">
        <f>'Compare w prev (colored)'!W23</f>
        <v>96.376811594202891</v>
      </c>
      <c r="X23" s="11">
        <f>'Compare w prev (colored)'!X23</f>
        <v>98.550724637681171</v>
      </c>
      <c r="Y23" s="11"/>
      <c r="Z23" s="11">
        <f>'Compare w prev (colored)'!Z23</f>
        <v>100</v>
      </c>
      <c r="AA23" s="11"/>
      <c r="AB23" s="11">
        <f>'Compare w prev (colored)'!AB23</f>
        <v>94.927536231884062</v>
      </c>
      <c r="AC23" s="11"/>
      <c r="AD23" s="11">
        <f>'Compare w prev (colored)'!AD23</f>
        <v>92.753623188405797</v>
      </c>
      <c r="AE23" s="11"/>
      <c r="AF23" s="11">
        <f>'Compare w prev (colored)'!AF23</f>
        <v>92.753623188405797</v>
      </c>
      <c r="AG23" s="11">
        <f>'Compare w prev (colored)'!AG23</f>
        <v>73.188405797101453</v>
      </c>
      <c r="AH23" s="11">
        <f>'Compare w prev (colored)'!AH23</f>
        <v>95.652173913043484</v>
      </c>
      <c r="AI23" s="11">
        <f>'Compare w prev (colored)'!AI23</f>
        <v>65.94202898550725</v>
      </c>
      <c r="AJ23" s="11">
        <f>'Compare w prev (colored)'!AJ23</f>
        <v>98.550724637681171</v>
      </c>
      <c r="AK23" s="11"/>
      <c r="AL23" s="11">
        <f>'Compare w prev (colored)'!AL23</f>
        <v>85.507246376811594</v>
      </c>
      <c r="AM23" s="11">
        <f>'Compare w prev (colored)'!AM23</f>
        <v>89.85507246376811</v>
      </c>
      <c r="AN23" s="11"/>
      <c r="AO23" s="11">
        <f>'Compare w prev (colored)'!AO23</f>
        <v>80.434782608695656</v>
      </c>
      <c r="AP23" s="11">
        <f>'Compare w prev (colored)'!AP23</f>
        <v>99.275362318840578</v>
      </c>
      <c r="AQ23" s="11">
        <f>'Compare w prev (colored)'!AQ23</f>
        <v>97.826086956521735</v>
      </c>
      <c r="AR23" s="11">
        <f>'Compare w prev (colored)'!AR23</f>
        <v>97.101449275362313</v>
      </c>
      <c r="AS23" s="11">
        <f>'Compare w prev (colored)'!AS23</f>
        <v>99.275362318840578</v>
      </c>
      <c r="AT23" s="9"/>
    </row>
    <row r="24" spans="1:46">
      <c r="A24" s="8" t="s">
        <v>44</v>
      </c>
      <c r="B24" s="11"/>
      <c r="C24" s="11">
        <f>'Compare w prev (colored)'!C24</f>
        <v>91.481481481481481</v>
      </c>
      <c r="D24" s="11">
        <f>'Compare w prev (colored)'!D24</f>
        <v>94.074074074074076</v>
      </c>
      <c r="E24" s="11">
        <f>'Compare w prev (colored)'!E24</f>
        <v>98.888888888888886</v>
      </c>
      <c r="F24" s="11">
        <f>'Compare w prev (colored)'!F24</f>
        <v>98.518518518518519</v>
      </c>
      <c r="G24" s="11">
        <f>'Compare w prev (colored)'!G24</f>
        <v>98.888888888888886</v>
      </c>
      <c r="H24" s="11">
        <f>'Compare w prev (colored)'!H24</f>
        <v>98.518518518518519</v>
      </c>
      <c r="I24" s="11">
        <f>'Compare w prev (colored)'!I24</f>
        <v>98.888888888888886</v>
      </c>
      <c r="J24" s="11">
        <f>'Compare w prev (colored)'!J24</f>
        <v>98.888888888888886</v>
      </c>
      <c r="K24" s="11">
        <f>'Compare w prev (colored)'!K24</f>
        <v>99.259259259259252</v>
      </c>
      <c r="L24" s="11">
        <f>'Compare w prev (colored)'!L24</f>
        <v>91.481481481481481</v>
      </c>
      <c r="M24" s="11">
        <f>'Compare w prev (colored)'!M24</f>
        <v>91.851851851851848</v>
      </c>
      <c r="N24" s="11"/>
      <c r="O24" s="11">
        <f>'Compare w prev (colored)'!O24</f>
        <v>94.444444444444443</v>
      </c>
      <c r="P24" s="11"/>
      <c r="Q24" s="11">
        <f>'Compare w prev (colored)'!Q24</f>
        <v>77.777777777777786</v>
      </c>
      <c r="R24" s="11"/>
      <c r="S24" s="11">
        <f>'Compare w prev (colored)'!S24</f>
        <v>94.074074074074076</v>
      </c>
      <c r="T24" s="11">
        <f>'Compare w prev (colored)'!T24</f>
        <v>95.555555555555557</v>
      </c>
      <c r="U24" s="11"/>
      <c r="V24" s="11"/>
      <c r="W24" s="11">
        <f>'Compare w prev (colored)'!W24</f>
        <v>97.407407407407405</v>
      </c>
      <c r="X24" s="11"/>
      <c r="Y24" s="11">
        <f>'Compare w prev (colored)'!Y24</f>
        <v>91.481481481481481</v>
      </c>
      <c r="Z24" s="11">
        <f>'Compare w prev (colored)'!Z24</f>
        <v>85.925925925925924</v>
      </c>
      <c r="AA24" s="11"/>
      <c r="AB24" s="11">
        <f>'Compare w prev (colored)'!AB24</f>
        <v>96.296296296296291</v>
      </c>
      <c r="AC24" s="11"/>
      <c r="AD24" s="11">
        <f>'Compare w prev (colored)'!AD24</f>
        <v>95.925925925925924</v>
      </c>
      <c r="AE24" s="11"/>
      <c r="AF24" s="11">
        <f>'Compare w prev (colored)'!AF24</f>
        <v>96.296296296296291</v>
      </c>
      <c r="AG24" s="11">
        <f>'Compare w prev (colored)'!AG24</f>
        <v>94.074074074074076</v>
      </c>
      <c r="AH24" s="11">
        <f>'Compare w prev (colored)'!AH24</f>
        <v>97.407407407407405</v>
      </c>
      <c r="AI24" s="11">
        <f>'Compare w prev (colored)'!AI24</f>
        <v>92.592592592592595</v>
      </c>
      <c r="AJ24" s="11">
        <f>'Compare w prev (colored)'!AJ24</f>
        <v>96.666666666666671</v>
      </c>
      <c r="AK24" s="11"/>
      <c r="AL24" s="11">
        <f>'Compare w prev (colored)'!AL24</f>
        <v>95.925925925925924</v>
      </c>
      <c r="AM24" s="11">
        <f>'Compare w prev (colored)'!AM24</f>
        <v>96.296296296296291</v>
      </c>
      <c r="AN24" s="11"/>
      <c r="AO24" s="11">
        <f>'Compare w prev (colored)'!AO24</f>
        <v>94.814814814814824</v>
      </c>
      <c r="AP24" s="11">
        <f>'Compare w prev (colored)'!AP24</f>
        <v>95.18518518518519</v>
      </c>
      <c r="AQ24" s="11">
        <f>'Compare w prev (colored)'!AQ24</f>
        <v>87.777777777777771</v>
      </c>
      <c r="AR24" s="11">
        <f>'Compare w prev (colored)'!AR24</f>
        <v>91.518518518518519</v>
      </c>
      <c r="AS24" s="11">
        <f>'Compare w prev (colored)'!AS24</f>
        <v>97.037037037037038</v>
      </c>
      <c r="AT24" s="9"/>
    </row>
    <row r="25" spans="1:46">
      <c r="A25" s="8" t="s">
        <v>10</v>
      </c>
      <c r="B25" s="11"/>
      <c r="C25" s="11">
        <f>'Compare w prev (colored)'!C25</f>
        <v>53</v>
      </c>
      <c r="D25" s="11">
        <f>'Compare w prev (colored)'!D25</f>
        <v>61</v>
      </c>
      <c r="E25" s="11">
        <f>'Compare w prev (colored)'!E25</f>
        <v>56.999999999999993</v>
      </c>
      <c r="F25" s="11">
        <f>'Compare w prev (colored)'!F25</f>
        <v>55.2</v>
      </c>
      <c r="G25" s="11">
        <f>'Compare w prev (colored)'!G25</f>
        <v>61</v>
      </c>
      <c r="H25" s="11">
        <f>'Compare w prev (colored)'!H25</f>
        <v>55.000000000000007</v>
      </c>
      <c r="I25" s="11">
        <f>'Compare w prev (colored)'!I25</f>
        <v>55.000000000000007</v>
      </c>
      <c r="J25" s="11">
        <f>'Compare w prev (colored)'!J25</f>
        <v>56.000000000000007</v>
      </c>
      <c r="K25" s="11">
        <f>'Compare w prev (colored)'!K25</f>
        <v>60</v>
      </c>
      <c r="L25" s="11">
        <f>'Compare w prev (colored)'!L25</f>
        <v>64</v>
      </c>
      <c r="M25" s="11">
        <f>'Compare w prev (colored)'!M25</f>
        <v>62</v>
      </c>
      <c r="N25" s="11"/>
      <c r="O25" s="11">
        <f>'Compare w prev (colored)'!O25</f>
        <v>64</v>
      </c>
      <c r="P25" s="11"/>
      <c r="Q25" s="11">
        <f>'Compare w prev (colored)'!Q25</f>
        <v>63</v>
      </c>
      <c r="R25" s="11"/>
      <c r="S25" s="11">
        <f>'Compare w prev (colored)'!S25</f>
        <v>59.4</v>
      </c>
      <c r="T25" s="11">
        <f>'Compare w prev (colored)'!T25</f>
        <v>66</v>
      </c>
      <c r="U25" s="11"/>
      <c r="V25" s="11"/>
      <c r="W25" s="11">
        <f>'Compare w prev (colored)'!W25</f>
        <v>67</v>
      </c>
      <c r="X25" s="11">
        <f>'Compare w prev (colored)'!X25</f>
        <v>61</v>
      </c>
      <c r="Y25" s="11"/>
      <c r="Z25" s="11">
        <f>'Compare w prev (colored)'!Z25</f>
        <v>68</v>
      </c>
      <c r="AA25" s="11"/>
      <c r="AB25" s="11">
        <f>'Compare w prev (colored)'!AB25</f>
        <v>67</v>
      </c>
      <c r="AC25" s="11"/>
      <c r="AD25" s="11">
        <f>'Compare w prev (colored)'!AD25</f>
        <v>72</v>
      </c>
      <c r="AE25" s="11"/>
      <c r="AF25" s="11">
        <f>'Compare w prev (colored)'!AF25</f>
        <v>66</v>
      </c>
      <c r="AG25" s="11">
        <f>'Compare w prev (colored)'!AG25</f>
        <v>64</v>
      </c>
      <c r="AH25" s="11">
        <f>'Compare w prev (colored)'!AH25</f>
        <v>64</v>
      </c>
      <c r="AI25" s="11">
        <f>'Compare w prev (colored)'!AI25</f>
        <v>62</v>
      </c>
      <c r="AJ25" s="11">
        <f>'Compare w prev (colored)'!AJ25</f>
        <v>63</v>
      </c>
      <c r="AK25" s="11"/>
      <c r="AL25" s="11">
        <f>'Compare w prev (colored)'!AL25</f>
        <v>56.999999999999993</v>
      </c>
      <c r="AM25" s="11">
        <f>'Compare w prev (colored)'!AM25</f>
        <v>66</v>
      </c>
      <c r="AN25" s="11"/>
      <c r="AO25" s="11">
        <f>'Compare w prev (colored)'!AO25</f>
        <v>64</v>
      </c>
      <c r="AP25" s="11">
        <f>'Compare w prev (colored)'!AP25</f>
        <v>64</v>
      </c>
      <c r="AQ25" s="11">
        <f>'Compare w prev (colored)'!AQ25</f>
        <v>67</v>
      </c>
      <c r="AR25" s="11">
        <f>'Compare w prev (colored)'!AR25</f>
        <v>69</v>
      </c>
      <c r="AS25" s="11">
        <f>'Compare w prev (colored)'!AS25</f>
        <v>66</v>
      </c>
      <c r="AT25" s="9"/>
    </row>
    <row r="26" spans="1:46">
      <c r="A26" s="8" t="s">
        <v>11</v>
      </c>
      <c r="B26" s="11"/>
      <c r="C26" s="11">
        <f>'Compare w prev (colored)'!C26</f>
        <v>18.918918918918919</v>
      </c>
      <c r="D26" s="11">
        <f>'Compare w prev (colored)'!D26</f>
        <v>50</v>
      </c>
      <c r="E26" s="11">
        <f>'Compare w prev (colored)'!E26</f>
        <v>51.351351351351347</v>
      </c>
      <c r="F26" s="11">
        <f>'Compare w prev (colored)'!F26</f>
        <v>39.729729729729726</v>
      </c>
      <c r="G26" s="11">
        <f>'Compare w prev (colored)'!G26</f>
        <v>48.648648648648653</v>
      </c>
      <c r="H26" s="11">
        <f>'Compare w prev (colored)'!H26</f>
        <v>21.621621621621621</v>
      </c>
      <c r="I26" s="11">
        <f>'Compare w prev (colored)'!I26</f>
        <v>51.351351351351347</v>
      </c>
      <c r="J26" s="11">
        <f>'Compare w prev (colored)'!J26</f>
        <v>36.486486486486484</v>
      </c>
      <c r="K26" s="11">
        <f>'Compare w prev (colored)'!K26</f>
        <v>36.486486486486484</v>
      </c>
      <c r="L26" s="11">
        <f>'Compare w prev (colored)'!L26</f>
        <v>58.108108108108105</v>
      </c>
      <c r="M26" s="11">
        <f>'Compare w prev (colored)'!M26</f>
        <v>66.21621621621621</v>
      </c>
      <c r="N26" s="11"/>
      <c r="O26" s="11">
        <f>'Compare w prev (colored)'!O26</f>
        <v>66.21621621621621</v>
      </c>
      <c r="P26" s="11"/>
      <c r="Q26" s="11">
        <f>'Compare w prev (colored)'!Q26</f>
        <v>70.270270270270274</v>
      </c>
      <c r="R26" s="11"/>
      <c r="S26" s="11">
        <f>'Compare w prev (colored)'!S26</f>
        <v>50</v>
      </c>
      <c r="T26" s="11">
        <f>'Compare w prev (colored)'!T26</f>
        <v>72.972972972972968</v>
      </c>
      <c r="U26" s="11"/>
      <c r="V26" s="11"/>
      <c r="W26" s="11">
        <f>'Compare w prev (colored)'!W26</f>
        <v>66.21621621621621</v>
      </c>
      <c r="X26" s="11">
        <f>'Compare w prev (colored)'!X26</f>
        <v>52.702702702702695</v>
      </c>
      <c r="Y26" s="11"/>
      <c r="Z26" s="11">
        <f>'Compare w prev (colored)'!Z26</f>
        <v>48.648648648648653</v>
      </c>
      <c r="AA26" s="11"/>
      <c r="AB26" s="11">
        <f>'Compare w prev (colored)'!AB26</f>
        <v>72.972972972972968</v>
      </c>
      <c r="AC26" s="11"/>
      <c r="AD26" s="11">
        <f>'Compare w prev (colored)'!AD26</f>
        <v>71.621621621621628</v>
      </c>
      <c r="AE26" s="11"/>
      <c r="AF26" s="11">
        <f>'Compare w prev (colored)'!AF26</f>
        <v>63.513513513513509</v>
      </c>
      <c r="AG26" s="11">
        <f>'Compare w prev (colored)'!AG26</f>
        <v>58.108108108108105</v>
      </c>
      <c r="AH26" s="11">
        <f>'Compare w prev (colored)'!AH26</f>
        <v>66.21621621621621</v>
      </c>
      <c r="AI26" s="11">
        <f>'Compare w prev (colored)'!AI26</f>
        <v>58.108108108108105</v>
      </c>
      <c r="AJ26" s="11">
        <f>'Compare w prev (colored)'!AJ26</f>
        <v>63.513513513513509</v>
      </c>
      <c r="AK26" s="11"/>
      <c r="AL26" s="11">
        <f>'Compare w prev (colored)'!AL26</f>
        <v>18.918918918918919</v>
      </c>
      <c r="AM26" s="11">
        <f>'Compare w prev (colored)'!AM26</f>
        <v>70.270270270270274</v>
      </c>
      <c r="AN26" s="11"/>
      <c r="AO26" s="11">
        <f>'Compare w prev (colored)'!AO26</f>
        <v>58.108108108108105</v>
      </c>
      <c r="AP26" s="11">
        <f>'Compare w prev (colored)'!AP26</f>
        <v>48.648648648648653</v>
      </c>
      <c r="AQ26" s="11">
        <f>'Compare w prev (colored)'!AQ26</f>
        <v>45.945945945945951</v>
      </c>
      <c r="AR26" s="11">
        <f>'Compare w prev (colored)'!AR26</f>
        <v>71.621621621621628</v>
      </c>
      <c r="AS26" s="11">
        <f>'Compare w prev (colored)'!AS26</f>
        <v>60.810810810810814</v>
      </c>
      <c r="AT26" s="9"/>
    </row>
    <row r="27" spans="1:46">
      <c r="A27" s="8" t="s">
        <v>45</v>
      </c>
      <c r="B27" s="11"/>
      <c r="C27" s="11">
        <f>'Compare w prev (colored)'!C27</f>
        <v>48.692</v>
      </c>
      <c r="D27" s="11">
        <f>'Compare w prev (colored)'!D27</f>
        <v>10</v>
      </c>
      <c r="E27" s="11">
        <f>'Compare w prev (colored)'!E27</f>
        <v>38.524000000000001</v>
      </c>
      <c r="F27" s="11"/>
      <c r="G27" s="11">
        <f>'Compare w prev (colored)'!G27</f>
        <v>66.796000000000006</v>
      </c>
      <c r="H27" s="11">
        <f>'Compare w prev (colored)'!H27</f>
        <v>67.900000000000006</v>
      </c>
      <c r="I27" s="11">
        <f>'Compare w prev (colored)'!I27</f>
        <v>67.052000000000007</v>
      </c>
      <c r="J27" s="11">
        <f>'Compare w prev (colored)'!J27</f>
        <v>66.7</v>
      </c>
      <c r="K27" s="11">
        <f>'Compare w prev (colored)'!K27</f>
        <v>65.744</v>
      </c>
      <c r="L27" s="11">
        <f>'Compare w prev (colored)'!L27</f>
        <v>10</v>
      </c>
      <c r="M27" s="11">
        <f>'Compare w prev (colored)'!M27</f>
        <v>18.995999999999999</v>
      </c>
      <c r="N27" s="11"/>
      <c r="O27" s="11">
        <f>'Compare w prev (colored)'!O27</f>
        <v>71.676000000000002</v>
      </c>
      <c r="P27" s="11"/>
      <c r="Q27" s="11">
        <f>'Compare w prev (colored)'!Q27</f>
        <v>72.424000000000007</v>
      </c>
      <c r="R27" s="11"/>
      <c r="S27" s="11">
        <f>'Compare w prev (colored)'!S27</f>
        <v>10</v>
      </c>
      <c r="T27" s="11">
        <f>'Compare w prev (colored)'!T27</f>
        <v>64.024000000000001</v>
      </c>
      <c r="U27" s="11"/>
      <c r="V27" s="11"/>
      <c r="W27" s="11">
        <f>'Compare w prev (colored)'!W27</f>
        <v>75.587999999999994</v>
      </c>
      <c r="X27" s="11">
        <f>'Compare w prev (colored)'!X27</f>
        <v>10</v>
      </c>
      <c r="Y27" s="11"/>
      <c r="Z27" s="11">
        <f>'Compare w prev (colored)'!Z27</f>
        <v>10.012</v>
      </c>
      <c r="AA27" s="11"/>
      <c r="AB27" s="11">
        <f>'Compare w prev (colored)'!AB27</f>
        <v>64.192000000000007</v>
      </c>
      <c r="AC27" s="11"/>
      <c r="AD27" s="11">
        <f>'Compare w prev (colored)'!AD27</f>
        <v>65.244</v>
      </c>
      <c r="AE27" s="11"/>
      <c r="AF27" s="11">
        <f>'Compare w prev (colored)'!AF27</f>
        <v>64.868000000000009</v>
      </c>
      <c r="AG27" s="11">
        <f>'Compare w prev (colored)'!AG27</f>
        <v>10</v>
      </c>
      <c r="AH27" s="11">
        <f>'Compare w prev (colored)'!AH27</f>
        <v>73.712000000000003</v>
      </c>
      <c r="AI27" s="11">
        <f>'Compare w prev (colored)'!AI27</f>
        <v>10</v>
      </c>
      <c r="AJ27" s="11">
        <f>'Compare w prev (colored)'!AJ27</f>
        <v>60.936</v>
      </c>
      <c r="AK27" s="11"/>
      <c r="AL27" s="11">
        <f>'Compare w prev (colored)'!AL27</f>
        <v>10</v>
      </c>
      <c r="AM27" s="11">
        <f>'Compare w prev (colored)'!AM27</f>
        <v>61.395999999999994</v>
      </c>
      <c r="AN27" s="11"/>
      <c r="AO27" s="11">
        <f>'Compare w prev (colored)'!AO27</f>
        <v>73.436000000000007</v>
      </c>
      <c r="AP27" s="11">
        <f>'Compare w prev (colored)'!AP27</f>
        <v>66.751999999999995</v>
      </c>
      <c r="AQ27" s="11">
        <f>'Compare w prev (colored)'!AQ27</f>
        <v>67.179999999999993</v>
      </c>
      <c r="AR27" s="11">
        <f>'Compare w prev (colored)'!AR27</f>
        <v>14.3</v>
      </c>
      <c r="AS27" s="11">
        <f>'Compare w prev (colored)'!AS27</f>
        <v>68.244</v>
      </c>
      <c r="AT27" s="9"/>
    </row>
    <row r="28" spans="1:46">
      <c r="A28" s="8" t="s">
        <v>12</v>
      </c>
      <c r="B28" s="11"/>
      <c r="C28" s="11">
        <f>'Compare w prev (colored)'!C28</f>
        <v>87.222222222222229</v>
      </c>
      <c r="D28" s="11">
        <f>'Compare w prev (colored)'!D28</f>
        <v>83.888888888888886</v>
      </c>
      <c r="E28" s="11">
        <f>'Compare w prev (colored)'!E28</f>
        <v>90.555555555555557</v>
      </c>
      <c r="F28" s="11">
        <f>'Compare w prev (colored)'!F28</f>
        <v>92.666666666666671</v>
      </c>
      <c r="G28" s="11">
        <f>'Compare w prev (colored)'!G28</f>
        <v>94.444444444444443</v>
      </c>
      <c r="H28" s="11">
        <f>'Compare w prev (colored)'!H28</f>
        <v>93.277777777777786</v>
      </c>
      <c r="I28" s="11">
        <f>'Compare w prev (colored)'!I28</f>
        <v>93.333333333333329</v>
      </c>
      <c r="J28" s="11">
        <f>'Compare w prev (colored)'!J28</f>
        <v>92.777777777777786</v>
      </c>
      <c r="K28" s="11">
        <f>'Compare w prev (colored)'!K28</f>
        <v>93.333333333333329</v>
      </c>
      <c r="L28" s="11">
        <f>'Compare w prev (colored)'!L28</f>
        <v>73.333333333333329</v>
      </c>
      <c r="M28" s="11">
        <f>'Compare w prev (colored)'!M28</f>
        <v>70.555555555555557</v>
      </c>
      <c r="N28" s="11"/>
      <c r="O28" s="11">
        <f>'Compare w prev (colored)'!O28</f>
        <v>89.444444444444443</v>
      </c>
      <c r="P28" s="11"/>
      <c r="Q28" s="11">
        <f>'Compare w prev (colored)'!Q28</f>
        <v>34.444444444444443</v>
      </c>
      <c r="R28" s="11"/>
      <c r="S28" s="11">
        <f>'Compare w prev (colored)'!S28</f>
        <v>77.833333333333329</v>
      </c>
      <c r="T28" s="11">
        <f>'Compare w prev (colored)'!T28</f>
        <v>88.333333333333329</v>
      </c>
      <c r="U28" s="11"/>
      <c r="V28" s="11"/>
      <c r="W28" s="11">
        <f>'Compare w prev (colored)'!W28</f>
        <v>90</v>
      </c>
      <c r="X28" s="11">
        <f>'Compare w prev (colored)'!X28</f>
        <v>92.777777777777786</v>
      </c>
      <c r="Y28" s="11"/>
      <c r="Z28" s="11">
        <f>'Compare w prev (colored)'!Z28</f>
        <v>95.555555555555557</v>
      </c>
      <c r="AA28" s="11"/>
      <c r="AB28" s="11">
        <f>'Compare w prev (colored)'!AB28</f>
        <v>88.333333333333329</v>
      </c>
      <c r="AC28" s="11"/>
      <c r="AD28" s="11">
        <f>'Compare w prev (colored)'!AD28</f>
        <v>93.333333333333329</v>
      </c>
      <c r="AE28" s="11"/>
      <c r="AF28" s="11">
        <f>'Compare w prev (colored)'!AF28</f>
        <v>90</v>
      </c>
      <c r="AG28" s="11">
        <f>'Compare w prev (colored)'!AG28</f>
        <v>76.111111111111114</v>
      </c>
      <c r="AH28" s="11">
        <f>'Compare w prev (colored)'!AH28</f>
        <v>90.555555555555557</v>
      </c>
      <c r="AI28" s="11">
        <f>'Compare w prev (colored)'!AI28</f>
        <v>81.111111111111114</v>
      </c>
      <c r="AJ28" s="11">
        <f>'Compare w prev (colored)'!AJ28</f>
        <v>81.666666666666671</v>
      </c>
      <c r="AK28" s="11"/>
      <c r="AL28" s="11">
        <f>'Compare w prev (colored)'!AL28</f>
        <v>79.444444444444443</v>
      </c>
      <c r="AM28" s="11">
        <f>'Compare w prev (colored)'!AM28</f>
        <v>87.777777777777771</v>
      </c>
      <c r="AN28" s="11"/>
      <c r="AO28" s="11">
        <f>'Compare w prev (colored)'!AO28</f>
        <v>91.666666666666657</v>
      </c>
      <c r="AP28" s="11">
        <f>'Compare w prev (colored)'!AP28</f>
        <v>97.222222222222214</v>
      </c>
      <c r="AQ28" s="11">
        <f>'Compare w prev (colored)'!AQ28</f>
        <v>97.222222222222214</v>
      </c>
      <c r="AR28" s="11">
        <f>'Compare w prev (colored)'!AR28</f>
        <v>90</v>
      </c>
      <c r="AS28" s="11">
        <f>'Compare w prev (colored)'!AS28</f>
        <v>91.666666666666657</v>
      </c>
      <c r="AT28" s="9"/>
    </row>
    <row r="29" spans="1:46">
      <c r="A29" s="8" t="s">
        <v>13</v>
      </c>
      <c r="B29" s="11"/>
      <c r="C29" s="11">
        <f>'Compare w prev (colored)'!C29</f>
        <v>55.109489051094897</v>
      </c>
      <c r="D29" s="11">
        <f>'Compare w prev (colored)'!D29</f>
        <v>54.099756690997559</v>
      </c>
      <c r="E29" s="11">
        <f>'Compare w prev (colored)'!E29</f>
        <v>64.030819140308196</v>
      </c>
      <c r="F29" s="11">
        <f>'Compare w prev (colored)'!F29</f>
        <v>63.694241686942419</v>
      </c>
      <c r="G29" s="11">
        <f>'Compare w prev (colored)'!G29</f>
        <v>66.38280616382805</v>
      </c>
      <c r="H29" s="11">
        <f>'Compare w prev (colored)'!H29</f>
        <v>60.701540957015411</v>
      </c>
      <c r="I29" s="11">
        <f>'Compare w prev (colored)'!I29</f>
        <v>66.504460665044604</v>
      </c>
      <c r="J29" s="11">
        <f>'Compare w prev (colored)'!J29</f>
        <v>63.600973236009736</v>
      </c>
      <c r="K29" s="11">
        <f>'Compare w prev (colored)'!K29</f>
        <v>64.274128142741276</v>
      </c>
      <c r="L29" s="11">
        <f>'Compare w prev (colored)'!L29</f>
        <v>35.77047850770478</v>
      </c>
      <c r="M29" s="11">
        <f>'Compare w prev (colored)'!M29</f>
        <v>34.022708840227089</v>
      </c>
      <c r="N29" s="11"/>
      <c r="O29" s="11">
        <f>'Compare w prev (colored)'!O29</f>
        <v>41.524736415247368</v>
      </c>
      <c r="P29" s="11"/>
      <c r="Q29" s="11">
        <f>'Compare w prev (colored)'!Q29</f>
        <v>34.18491484184915</v>
      </c>
      <c r="R29" s="11"/>
      <c r="S29" s="11">
        <f>'Compare w prev (colored)'!S29</f>
        <v>59.209245742092456</v>
      </c>
      <c r="T29" s="11">
        <f>'Compare w prev (colored)'!T29</f>
        <v>44.120032441200323</v>
      </c>
      <c r="U29" s="11"/>
      <c r="V29" s="11"/>
      <c r="W29" s="11">
        <f>'Compare w prev (colored)'!W29</f>
        <v>43.592862935928629</v>
      </c>
      <c r="X29" s="11">
        <f>'Compare w prev (colored)'!X29</f>
        <v>66.338199513381994</v>
      </c>
      <c r="Y29" s="11"/>
      <c r="Z29" s="11">
        <f>'Compare w prev (colored)'!Z29</f>
        <v>51.013787510137874</v>
      </c>
      <c r="AA29" s="11"/>
      <c r="AB29" s="11">
        <f>'Compare w prev (colored)'!AB29</f>
        <v>44.444444444444443</v>
      </c>
      <c r="AC29" s="11"/>
      <c r="AD29" s="11">
        <f>'Compare w prev (colored)'!AD29</f>
        <v>40.997566909975667</v>
      </c>
      <c r="AE29" s="11"/>
      <c r="AF29" s="11">
        <f>'Compare w prev (colored)'!AF29</f>
        <v>41.240875912408761</v>
      </c>
      <c r="AG29" s="11">
        <f>'Compare w prev (colored)'!AG29</f>
        <v>42.818329278183299</v>
      </c>
      <c r="AH29" s="11">
        <f>'Compare w prev (colored)'!AH29</f>
        <v>41.768045417680455</v>
      </c>
      <c r="AI29" s="11">
        <f>'Compare w prev (colored)'!AI29</f>
        <v>67.798053527980542</v>
      </c>
      <c r="AJ29" s="11">
        <f>'Compare w prev (colored)'!AJ29</f>
        <v>56.731549067315491</v>
      </c>
      <c r="AK29" s="11"/>
      <c r="AL29" s="11">
        <f>'Compare w prev (colored)'!AL29</f>
        <v>46.390916463909164</v>
      </c>
      <c r="AM29" s="11">
        <f>'Compare w prev (colored)'!AM29</f>
        <v>38.077858880778585</v>
      </c>
      <c r="AN29" s="11"/>
      <c r="AO29" s="11">
        <f>'Compare w prev (colored)'!AO29</f>
        <v>40.673154906731554</v>
      </c>
      <c r="AP29" s="11">
        <f>'Compare w prev (colored)'!AP29</f>
        <v>60.66504460665044</v>
      </c>
      <c r="AQ29" s="11">
        <f>'Compare w prev (colored)'!AQ29</f>
        <v>59.570154095701547</v>
      </c>
      <c r="AR29" s="11">
        <f>'Compare w prev (colored)'!AR29</f>
        <v>60.300081103000814</v>
      </c>
      <c r="AS29" s="11">
        <f>'Compare w prev (colored)'!AS29</f>
        <v>60.056772100567727</v>
      </c>
      <c r="AT29" s="9"/>
    </row>
    <row r="30" spans="1:46">
      <c r="A30" s="8" t="s">
        <v>14</v>
      </c>
      <c r="B30" s="11"/>
      <c r="C30" s="11">
        <f>'Compare w prev (colored)'!C30</f>
        <v>50</v>
      </c>
      <c r="D30" s="11">
        <f>'Compare w prev (colored)'!D30</f>
        <v>53</v>
      </c>
      <c r="E30" s="11">
        <f>'Compare w prev (colored)'!E30</f>
        <v>54</v>
      </c>
      <c r="F30" s="11">
        <f>'Compare w prev (colored)'!F30</f>
        <v>53.2</v>
      </c>
      <c r="G30" s="11">
        <f>'Compare w prev (colored)'!G30</f>
        <v>50</v>
      </c>
      <c r="H30" s="11">
        <f>'Compare w prev (colored)'!H30</f>
        <v>50</v>
      </c>
      <c r="I30" s="11">
        <f>'Compare w prev (colored)'!I30</f>
        <v>54</v>
      </c>
      <c r="J30" s="11">
        <f>'Compare w prev (colored)'!J30</f>
        <v>48</v>
      </c>
      <c r="K30" s="11">
        <f>'Compare w prev (colored)'!K30</f>
        <v>51</v>
      </c>
      <c r="L30" s="11">
        <f>'Compare w prev (colored)'!L30</f>
        <v>61</v>
      </c>
      <c r="M30" s="11">
        <f>'Compare w prev (colored)'!M30</f>
        <v>64</v>
      </c>
      <c r="N30" s="11"/>
      <c r="O30" s="11">
        <f>'Compare w prev (colored)'!O30</f>
        <v>68</v>
      </c>
      <c r="P30" s="11"/>
      <c r="Q30" s="11">
        <f>'Compare w prev (colored)'!Q30</f>
        <v>66</v>
      </c>
      <c r="R30" s="11"/>
      <c r="S30" s="11">
        <f>'Compare w prev (colored)'!S30</f>
        <v>51</v>
      </c>
      <c r="T30" s="11">
        <f>'Compare w prev (colored)'!T30</f>
        <v>68</v>
      </c>
      <c r="U30" s="11"/>
      <c r="V30" s="11"/>
      <c r="W30" s="11">
        <f>'Compare w prev (colored)'!W30</f>
        <v>67</v>
      </c>
      <c r="X30" s="11">
        <f>'Compare w prev (colored)'!X30</f>
        <v>62</v>
      </c>
      <c r="Y30" s="11"/>
      <c r="Z30" s="11">
        <f>'Compare w prev (colored)'!Z30</f>
        <v>71</v>
      </c>
      <c r="AA30" s="11"/>
      <c r="AB30" s="11">
        <f>'Compare w prev (colored)'!AB30</f>
        <v>67</v>
      </c>
      <c r="AC30" s="11"/>
      <c r="AD30" s="11">
        <f>'Compare w prev (colored)'!AD30</f>
        <v>65</v>
      </c>
      <c r="AE30" s="11"/>
      <c r="AF30" s="11">
        <f>'Compare w prev (colored)'!AF30</f>
        <v>67</v>
      </c>
      <c r="AG30" s="11">
        <f>'Compare w prev (colored)'!AG30</f>
        <v>61</v>
      </c>
      <c r="AH30" s="11">
        <f>'Compare w prev (colored)'!AH30</f>
        <v>68</v>
      </c>
      <c r="AI30" s="11">
        <f>'Compare w prev (colored)'!AI30</f>
        <v>61</v>
      </c>
      <c r="AJ30" s="11">
        <f>'Compare w prev (colored)'!AJ30</f>
        <v>69</v>
      </c>
      <c r="AK30" s="11"/>
      <c r="AL30" s="11">
        <f>'Compare w prev (colored)'!AL30</f>
        <v>50</v>
      </c>
      <c r="AM30" s="11">
        <f>'Compare w prev (colored)'!AM30</f>
        <v>67</v>
      </c>
      <c r="AN30" s="11"/>
      <c r="AO30" s="11">
        <f>'Compare w prev (colored)'!AO30</f>
        <v>67</v>
      </c>
      <c r="AP30" s="11">
        <f>'Compare w prev (colored)'!AP30</f>
        <v>64</v>
      </c>
      <c r="AQ30" s="11">
        <f>'Compare w prev (colored)'!AQ30</f>
        <v>67</v>
      </c>
      <c r="AR30" s="11">
        <f>'Compare w prev (colored)'!AR30</f>
        <v>62</v>
      </c>
      <c r="AS30" s="11">
        <f>'Compare w prev (colored)'!AS30</f>
        <v>67</v>
      </c>
      <c r="AT30" s="9"/>
    </row>
    <row r="31" spans="1:46">
      <c r="A31" s="8" t="s">
        <v>46</v>
      </c>
      <c r="B31" s="11"/>
      <c r="C31" s="11">
        <f>'Compare w prev (colored)'!C31</f>
        <v>88.333333333333329</v>
      </c>
      <c r="D31" s="11">
        <f>'Compare w prev (colored)'!D31</f>
        <v>83.333333333333343</v>
      </c>
      <c r="E31" s="11">
        <f>'Compare w prev (colored)'!E31</f>
        <v>89.444444444444443</v>
      </c>
      <c r="F31" s="11">
        <f>'Compare w prev (colored)'!F31</f>
        <v>89.222222222222214</v>
      </c>
      <c r="G31" s="11">
        <f>'Compare w prev (colored)'!G31</f>
        <v>91.111111111111114</v>
      </c>
      <c r="H31" s="11">
        <f>'Compare w prev (colored)'!H31</f>
        <v>87.222222222222229</v>
      </c>
      <c r="I31" s="11">
        <f>'Compare w prev (colored)'!I31</f>
        <v>90</v>
      </c>
      <c r="J31" s="11">
        <f>'Compare w prev (colored)'!J31</f>
        <v>91.722222222222214</v>
      </c>
      <c r="K31" s="11">
        <f>'Compare w prev (colored)'!K31</f>
        <v>93.333333333333329</v>
      </c>
      <c r="L31" s="11">
        <f>'Compare w prev (colored)'!L31</f>
        <v>93.888888888888886</v>
      </c>
      <c r="M31" s="11">
        <f>'Compare w prev (colored)'!M31</f>
        <v>96.111111111111114</v>
      </c>
      <c r="N31" s="11"/>
      <c r="O31" s="11">
        <f>'Compare w prev (colored)'!O31</f>
        <v>97.222222222222214</v>
      </c>
      <c r="P31" s="11"/>
      <c r="Q31" s="11">
        <f>'Compare w prev (colored)'!Q31</f>
        <v>95</v>
      </c>
      <c r="R31" s="11"/>
      <c r="S31" s="11">
        <f>'Compare w prev (colored)'!S31</f>
        <v>81.833333333333343</v>
      </c>
      <c r="T31" s="11">
        <f>'Compare w prev (colored)'!T31</f>
        <v>98.333333333333329</v>
      </c>
      <c r="U31" s="11"/>
      <c r="V31" s="11"/>
      <c r="W31" s="11">
        <f>'Compare w prev (colored)'!W31</f>
        <v>95.555555555555557</v>
      </c>
      <c r="X31" s="11">
        <f>'Compare w prev (colored)'!X31</f>
        <v>95.555555555555557</v>
      </c>
      <c r="Y31" s="11"/>
      <c r="Z31" s="11">
        <f>'Compare w prev (colored)'!Z31</f>
        <v>99.444444444444443</v>
      </c>
      <c r="AA31" s="11"/>
      <c r="AB31" s="11">
        <f>'Compare w prev (colored)'!AB31</f>
        <v>96.111111111111114</v>
      </c>
      <c r="AC31" s="11"/>
      <c r="AD31" s="11">
        <f>'Compare w prev (colored)'!AD31</f>
        <v>96.111111111111114</v>
      </c>
      <c r="AE31" s="11"/>
      <c r="AF31" s="11">
        <f>'Compare w prev (colored)'!AF31</f>
        <v>93.333333333333329</v>
      </c>
      <c r="AG31" s="11">
        <f>'Compare w prev (colored)'!AG31</f>
        <v>88.333333333333329</v>
      </c>
      <c r="AH31" s="11">
        <f>'Compare w prev (colored)'!AH31</f>
        <v>93.888888888888886</v>
      </c>
      <c r="AI31" s="11">
        <f>'Compare w prev (colored)'!AI31</f>
        <v>96.666666666666671</v>
      </c>
      <c r="AJ31" s="11">
        <f>'Compare w prev (colored)'!AJ31</f>
        <v>80.555555555555557</v>
      </c>
      <c r="AK31" s="11"/>
      <c r="AL31" s="11">
        <f>'Compare w prev (colored)'!AL31</f>
        <v>91.666666666666657</v>
      </c>
      <c r="AM31" s="11">
        <f>'Compare w prev (colored)'!AM31</f>
        <v>96.111111111111114</v>
      </c>
      <c r="AN31" s="11"/>
      <c r="AO31" s="11">
        <f>'Compare w prev (colored)'!AO31</f>
        <v>88.888888888888886</v>
      </c>
      <c r="AP31" s="11">
        <f>'Compare w prev (colored)'!AP31</f>
        <v>98.888888888888886</v>
      </c>
      <c r="AQ31" s="11">
        <f>'Compare w prev (colored)'!AQ31</f>
        <v>98.888888888888886</v>
      </c>
      <c r="AR31" s="11">
        <f>'Compare w prev (colored)'!AR31</f>
        <v>94.444444444444443</v>
      </c>
      <c r="AS31" s="11">
        <f>'Compare w prev (colored)'!AS31</f>
        <v>92.222222222222229</v>
      </c>
      <c r="AT31" s="9"/>
    </row>
    <row r="32" spans="1:46">
      <c r="A32" s="8" t="s">
        <v>15</v>
      </c>
      <c r="B32" s="11"/>
      <c r="C32" s="11">
        <f>'Compare w prev (colored)'!C32</f>
        <v>97.712978845054323</v>
      </c>
      <c r="D32" s="11">
        <f>'Compare w prev (colored)'!D32</f>
        <v>97.341337907375646</v>
      </c>
      <c r="E32" s="11">
        <f>'Compare w prev (colored)'!E32</f>
        <v>98.227558604917093</v>
      </c>
      <c r="F32" s="11">
        <f>'Compare w prev (colored)'!F32</f>
        <v>99.55688965122927</v>
      </c>
      <c r="G32" s="11">
        <f>'Compare w prev (colored)'!G32</f>
        <v>97.65580331618068</v>
      </c>
      <c r="H32" s="11">
        <f>'Compare w prev (colored)'!H32</f>
        <v>96.801029159519729</v>
      </c>
      <c r="I32" s="11">
        <f>'Compare w prev (colored)'!I32</f>
        <v>97.85591766723843</v>
      </c>
      <c r="J32" s="11">
        <f>'Compare w prev (colored)'!J32</f>
        <v>96.801029159519729</v>
      </c>
      <c r="K32" s="11">
        <f>'Compare w prev (colored)'!K32</f>
        <v>97.284162378502003</v>
      </c>
      <c r="L32" s="11">
        <f>'Compare w prev (colored)'!L32</f>
        <v>92.938822184105206</v>
      </c>
      <c r="M32" s="11">
        <f>'Compare w prev (colored)'!M32</f>
        <v>92.481417953116065</v>
      </c>
      <c r="N32" s="11"/>
      <c r="O32" s="11">
        <f>'Compare w prev (colored)'!O32</f>
        <v>96.99828473413379</v>
      </c>
      <c r="P32" s="11"/>
      <c r="Q32" s="11">
        <f>'Compare w prev (colored)'!Q32</f>
        <v>46.941109205260148</v>
      </c>
      <c r="R32" s="11"/>
      <c r="S32" s="11">
        <f>'Compare w prev (colored)'!S32</f>
        <v>98.190394511149222</v>
      </c>
      <c r="T32" s="11">
        <f>'Compare w prev (colored)'!T32</f>
        <v>98.913664951400804</v>
      </c>
      <c r="U32" s="11"/>
      <c r="V32" s="11"/>
      <c r="W32" s="11">
        <f>'Compare w prev (colored)'!W32</f>
        <v>98.513436249285306</v>
      </c>
      <c r="X32" s="11">
        <f>'Compare w prev (colored)'!X32</f>
        <v>98.939393939393938</v>
      </c>
      <c r="Y32" s="11"/>
      <c r="Z32" s="11">
        <f>'Compare w prev (colored)'!Z32</f>
        <v>99.028016009148089</v>
      </c>
      <c r="AA32" s="11"/>
      <c r="AB32" s="11">
        <f>'Compare w prev (colored)'!AB32</f>
        <v>98.59919954259577</v>
      </c>
      <c r="AC32" s="11"/>
      <c r="AD32" s="11">
        <f>'Compare w prev (colored)'!AD32</f>
        <v>98.59919954259577</v>
      </c>
      <c r="AE32" s="11"/>
      <c r="AF32" s="11">
        <f>'Compare w prev (colored)'!AF32</f>
        <v>98.542024013722127</v>
      </c>
      <c r="AG32" s="11">
        <f>'Compare w prev (colored)'!AG32</f>
        <v>93.650657518582051</v>
      </c>
      <c r="AH32" s="11">
        <f>'Compare w prev (colored)'!AH32</f>
        <v>98.513436249285306</v>
      </c>
      <c r="AI32" s="11">
        <f>'Compare w prev (colored)'!AI32</f>
        <v>99.230989136649512</v>
      </c>
      <c r="AJ32" s="11">
        <f>'Compare w prev (colored)'!AJ32</f>
        <v>98.484848484848484</v>
      </c>
      <c r="AK32" s="11"/>
      <c r="AL32" s="11">
        <f>'Compare w prev (colored)'!AL32</f>
        <v>97.741566609491144</v>
      </c>
      <c r="AM32" s="11">
        <f>'Compare w prev (colored)'!AM32</f>
        <v>98.513436249285306</v>
      </c>
      <c r="AN32" s="11"/>
      <c r="AO32" s="11">
        <f>'Compare w prev (colored)'!AO32</f>
        <v>98.427672955974842</v>
      </c>
      <c r="AP32" s="11">
        <f>'Compare w prev (colored)'!AP32</f>
        <v>99.14236706689536</v>
      </c>
      <c r="AQ32" s="11">
        <f>'Compare w prev (colored)'!AQ32</f>
        <v>99.342481417953124</v>
      </c>
      <c r="AR32" s="11">
        <f>'Compare w prev (colored)'!AR32</f>
        <v>98.542024013722127</v>
      </c>
      <c r="AS32" s="11">
        <f>'Compare w prev (colored)'!AS32</f>
        <v>98.513436249285306</v>
      </c>
      <c r="AT32" s="9"/>
    </row>
    <row r="33" spans="1:46">
      <c r="A33" s="8" t="s">
        <v>16</v>
      </c>
      <c r="B33" s="11"/>
      <c r="C33" s="11">
        <f>'Compare w prev (colored)'!C33</f>
        <v>15.120787354607815</v>
      </c>
      <c r="D33" s="11">
        <f>'Compare w prev (colored)'!D33</f>
        <v>17.599164926931106</v>
      </c>
      <c r="E33" s="11">
        <f>'Compare w prev (colored)'!E33</f>
        <v>27.82582761705935</v>
      </c>
      <c r="F33" s="11">
        <f>'Compare w prev (colored)'!F33</f>
        <v>29.427378467044441</v>
      </c>
      <c r="G33" s="11">
        <f>'Compare w prev (colored)'!G33</f>
        <v>33.015210259469129</v>
      </c>
      <c r="H33" s="11">
        <f>'Compare w prev (colored)'!H33</f>
        <v>32.400835073068897</v>
      </c>
      <c r="I33" s="11">
        <f>'Compare w prev (colored)'!I33</f>
        <v>33.16433045034298</v>
      </c>
      <c r="J33" s="11">
        <f>'Compare w prev (colored)'!J33</f>
        <v>35.401133313450636</v>
      </c>
      <c r="K33" s="11">
        <f>'Compare w prev (colored)'!K33</f>
        <v>33.641515061139273</v>
      </c>
      <c r="L33" s="11">
        <f>'Compare w prev (colored)'!L33</f>
        <v>7.1011034894124663</v>
      </c>
      <c r="M33" s="11">
        <f>'Compare w prev (colored)'!M33</f>
        <v>6.6507605129734566</v>
      </c>
      <c r="N33" s="11"/>
      <c r="O33" s="11">
        <f>'Compare w prev (colored)'!O33</f>
        <v>16.224276767074262</v>
      </c>
      <c r="P33" s="11"/>
      <c r="Q33" s="11">
        <f>'Compare w prev (colored)'!Q33</f>
        <v>5.4279749478079333</v>
      </c>
      <c r="R33" s="11"/>
      <c r="S33" s="11">
        <f>'Compare w prev (colored)'!S33</f>
        <v>18.240381747688637</v>
      </c>
      <c r="T33" s="11">
        <f>'Compare w prev (colored)'!T33</f>
        <v>14.524306591112438</v>
      </c>
      <c r="U33" s="11"/>
      <c r="V33" s="11"/>
      <c r="W33" s="11">
        <f>'Compare w prev (colored)'!W33</f>
        <v>13.748881598568447</v>
      </c>
      <c r="X33" s="11">
        <f>'Compare w prev (colored)'!X33</f>
        <v>17.751267521622431</v>
      </c>
      <c r="Y33" s="11"/>
      <c r="Z33" s="11">
        <f>'Compare w prev (colored)'!Z33</f>
        <v>4.9209662988368628</v>
      </c>
      <c r="AA33" s="11"/>
      <c r="AB33" s="11">
        <f>'Compare w prev (colored)'!AB33</f>
        <v>15.508499850879808</v>
      </c>
      <c r="AC33" s="11"/>
      <c r="AD33" s="11">
        <f>'Compare w prev (colored)'!AD33</f>
        <v>11.691022964509393</v>
      </c>
      <c r="AE33" s="11"/>
      <c r="AF33" s="11">
        <f>'Compare w prev (colored)'!AF33</f>
        <v>14.315538323889054</v>
      </c>
      <c r="AG33" s="11">
        <f>'Compare w prev (colored)'!AG33</f>
        <v>7.5514464658514759</v>
      </c>
      <c r="AH33" s="11">
        <f>'Compare w prev (colored)'!AH33</f>
        <v>14.255890247539515</v>
      </c>
      <c r="AI33" s="11">
        <f>'Compare w prev (colored)'!AI33</f>
        <v>11.691022964509393</v>
      </c>
      <c r="AJ33" s="11">
        <f>'Compare w prev (colored)'!AJ33</f>
        <v>15.090963316433045</v>
      </c>
      <c r="AK33" s="11"/>
      <c r="AL33" s="11">
        <f>'Compare w prev (colored)'!AL33</f>
        <v>3.0122278556516555</v>
      </c>
      <c r="AM33" s="11">
        <f>'Compare w prev (colored)'!AM33</f>
        <v>13.122576796898301</v>
      </c>
      <c r="AN33" s="11"/>
      <c r="AO33" s="11">
        <f>'Compare w prev (colored)'!AO33</f>
        <v>11.541902773635551</v>
      </c>
      <c r="AP33" s="11">
        <f>'Compare w prev (colored)'!AP33</f>
        <v>32.1801371905756</v>
      </c>
      <c r="AQ33" s="11">
        <f>'Compare w prev (colored)'!AQ33</f>
        <v>33.074858335818668</v>
      </c>
      <c r="AR33" s="11">
        <f>'Compare w prev (colored)'!AR33</f>
        <v>24.658514762898896</v>
      </c>
      <c r="AS33" s="11">
        <f>'Compare w prev (colored)'!AS33</f>
        <v>23.799582463465555</v>
      </c>
      <c r="AT33" s="9"/>
    </row>
    <row r="34" spans="1:46">
      <c r="A34" s="8" t="s">
        <v>17</v>
      </c>
      <c r="B34" s="11"/>
      <c r="C34" s="11">
        <f>'Compare w prev (colored)'!C34</f>
        <v>80.26315789473685</v>
      </c>
      <c r="D34" s="11">
        <f>'Compare w prev (colored)'!D34</f>
        <v>86.18421052631578</v>
      </c>
      <c r="E34" s="11">
        <f>'Compare w prev (colored)'!E34</f>
        <v>90.789473684210535</v>
      </c>
      <c r="F34" s="11">
        <f>'Compare w prev (colored)'!F34</f>
        <v>93.026315789473685</v>
      </c>
      <c r="G34" s="11">
        <f>'Compare w prev (colored)'!G34</f>
        <v>90.131578947368425</v>
      </c>
      <c r="H34" s="11">
        <f>'Compare w prev (colored)'!H34</f>
        <v>91.381578947368425</v>
      </c>
      <c r="I34" s="11">
        <f>'Compare w prev (colored)'!I34</f>
        <v>91.44736842105263</v>
      </c>
      <c r="J34" s="11">
        <f>'Compare w prev (colored)'!J34</f>
        <v>90.789473684210535</v>
      </c>
      <c r="K34" s="11">
        <f>'Compare w prev (colored)'!K34</f>
        <v>90.131578947368425</v>
      </c>
      <c r="L34" s="11">
        <f>'Compare w prev (colored)'!L34</f>
        <v>78.94736842105263</v>
      </c>
      <c r="M34" s="11">
        <f>'Compare w prev (colored)'!M34</f>
        <v>78.94736842105263</v>
      </c>
      <c r="N34" s="11"/>
      <c r="O34" s="11">
        <f>'Compare w prev (colored)'!O34</f>
        <v>81.578947368421055</v>
      </c>
      <c r="P34" s="11"/>
      <c r="Q34" s="11">
        <f>'Compare w prev (colored)'!Q34</f>
        <v>86.842105263157904</v>
      </c>
      <c r="R34" s="11"/>
      <c r="S34" s="11">
        <f>'Compare w prev (colored)'!S34</f>
        <v>82.631578947368425</v>
      </c>
      <c r="T34" s="11">
        <f>'Compare w prev (colored)'!T34</f>
        <v>89.473684210526315</v>
      </c>
      <c r="U34" s="11"/>
      <c r="V34" s="11"/>
      <c r="W34" s="11">
        <f>'Compare w prev (colored)'!W34</f>
        <v>84.210526315789465</v>
      </c>
      <c r="X34" s="11">
        <f>'Compare w prev (colored)'!X34</f>
        <v>90.789473684210535</v>
      </c>
      <c r="Y34" s="11"/>
      <c r="Z34" s="11">
        <f>'Compare w prev (colored)'!Z34</f>
        <v>94.078947368421055</v>
      </c>
      <c r="AA34" s="11"/>
      <c r="AB34" s="11">
        <f>'Compare w prev (colored)'!AB34</f>
        <v>91.44736842105263</v>
      </c>
      <c r="AC34" s="11"/>
      <c r="AD34" s="11">
        <f>'Compare w prev (colored)'!AD34</f>
        <v>84.868421052631575</v>
      </c>
      <c r="AE34" s="11"/>
      <c r="AF34" s="11">
        <f>'Compare w prev (colored)'!AF34</f>
        <v>85.526315789473685</v>
      </c>
      <c r="AG34" s="11">
        <f>'Compare w prev (colored)'!AG34</f>
        <v>81.578947368421055</v>
      </c>
      <c r="AH34" s="11">
        <f>'Compare w prev (colored)'!AH34</f>
        <v>87.5</v>
      </c>
      <c r="AI34" s="11">
        <f>'Compare w prev (colored)'!AI34</f>
        <v>84.210526315789465</v>
      </c>
      <c r="AJ34" s="11">
        <f>'Compare w prev (colored)'!AJ34</f>
        <v>85.526315789473685</v>
      </c>
      <c r="AK34" s="11"/>
      <c r="AL34" s="11">
        <f>'Compare w prev (colored)'!AL34</f>
        <v>76.973684210526315</v>
      </c>
      <c r="AM34" s="11">
        <f>'Compare w prev (colored)'!AM34</f>
        <v>86.842105263157904</v>
      </c>
      <c r="AN34" s="11"/>
      <c r="AO34" s="11">
        <f>'Compare w prev (colored)'!AO34</f>
        <v>81.578947368421055</v>
      </c>
      <c r="AP34" s="11">
        <f>'Compare w prev (colored)'!AP34</f>
        <v>90.789473684210535</v>
      </c>
      <c r="AQ34" s="11">
        <f>'Compare w prev (colored)'!AQ34</f>
        <v>91.44736842105263</v>
      </c>
      <c r="AR34" s="11">
        <f>'Compare w prev (colored)'!AR34</f>
        <v>91.44736842105263</v>
      </c>
      <c r="AS34" s="11">
        <f>'Compare w prev (colored)'!AS34</f>
        <v>90.789473684210535</v>
      </c>
      <c r="AT34" s="9"/>
    </row>
    <row r="35" spans="1:46">
      <c r="A35" s="8" t="s">
        <v>18</v>
      </c>
      <c r="B35" s="11"/>
      <c r="C35" s="11">
        <f>'Compare w prev (colored)'!C35</f>
        <v>20</v>
      </c>
      <c r="D35" s="11">
        <f>'Compare w prev (colored)'!D35</f>
        <v>46.666666666666664</v>
      </c>
      <c r="E35" s="11">
        <f>'Compare w prev (colored)'!E35</f>
        <v>46.666666666666664</v>
      </c>
      <c r="F35" s="11">
        <f>'Compare w prev (colored)'!F35</f>
        <v>44</v>
      </c>
      <c r="G35" s="11">
        <f>'Compare w prev (colored)'!G35</f>
        <v>40</v>
      </c>
      <c r="H35" s="11">
        <f>'Compare w prev (colored)'!H35</f>
        <v>40</v>
      </c>
      <c r="I35" s="11">
        <f>'Compare w prev (colored)'!I35</f>
        <v>40</v>
      </c>
      <c r="J35" s="11">
        <f>'Compare w prev (colored)'!J35</f>
        <v>60</v>
      </c>
      <c r="K35" s="11">
        <f>'Compare w prev (colored)'!K35</f>
        <v>66.666666666666657</v>
      </c>
      <c r="L35" s="11">
        <f>'Compare w prev (colored)'!L35</f>
        <v>60</v>
      </c>
      <c r="M35" s="11">
        <f>'Compare w prev (colored)'!M35</f>
        <v>53.333333333333336</v>
      </c>
      <c r="N35" s="11"/>
      <c r="O35" s="11">
        <f>'Compare w prev (colored)'!O35</f>
        <v>73.333333333333329</v>
      </c>
      <c r="P35" s="11"/>
      <c r="Q35" s="11">
        <f>'Compare w prev (colored)'!Q35</f>
        <v>66.666666666666657</v>
      </c>
      <c r="R35" s="11"/>
      <c r="S35" s="11">
        <f>'Compare w prev (colored)'!S35</f>
        <v>53.333333333333336</v>
      </c>
      <c r="T35" s="11">
        <f>'Compare w prev (colored)'!T35</f>
        <v>66.666666666666657</v>
      </c>
      <c r="U35" s="11"/>
      <c r="V35" s="11"/>
      <c r="W35" s="11">
        <f>'Compare w prev (colored)'!W35</f>
        <v>80</v>
      </c>
      <c r="X35" s="11">
        <f>'Compare w prev (colored)'!X35</f>
        <v>46.666666666666664</v>
      </c>
      <c r="Y35" s="11"/>
      <c r="Z35" s="11">
        <f>'Compare w prev (colored)'!Z35</f>
        <v>73.333333333333329</v>
      </c>
      <c r="AA35" s="11"/>
      <c r="AB35" s="11">
        <f>'Compare w prev (colored)'!AB35</f>
        <v>73.333333333333329</v>
      </c>
      <c r="AC35" s="11"/>
      <c r="AD35" s="11">
        <f>'Compare w prev (colored)'!AD35</f>
        <v>66.666666666666657</v>
      </c>
      <c r="AE35" s="11"/>
      <c r="AF35" s="11">
        <f>'Compare w prev (colored)'!AF35</f>
        <v>66.666666666666657</v>
      </c>
      <c r="AG35" s="11">
        <f>'Compare w prev (colored)'!AG35</f>
        <v>53.333333333333336</v>
      </c>
      <c r="AH35" s="11">
        <f>'Compare w prev (colored)'!AH35</f>
        <v>80</v>
      </c>
      <c r="AI35" s="11">
        <f>'Compare w prev (colored)'!AI35</f>
        <v>60</v>
      </c>
      <c r="AJ35" s="11">
        <f>'Compare w prev (colored)'!AJ35</f>
        <v>86.666666666666671</v>
      </c>
      <c r="AK35" s="11"/>
      <c r="AL35" s="11">
        <f>'Compare w prev (colored)'!AL35</f>
        <v>33.333333333333329</v>
      </c>
      <c r="AM35" s="11">
        <f>'Compare w prev (colored)'!AM35</f>
        <v>73.333333333333329</v>
      </c>
      <c r="AN35" s="11"/>
      <c r="AO35" s="11">
        <f>'Compare w prev (colored)'!AO35</f>
        <v>73.333333333333329</v>
      </c>
      <c r="AP35" s="11">
        <f>'Compare w prev (colored)'!AP35</f>
        <v>53.333333333333336</v>
      </c>
      <c r="AQ35" s="11">
        <f>'Compare w prev (colored)'!AQ35</f>
        <v>60</v>
      </c>
      <c r="AR35" s="11">
        <f>'Compare w prev (colored)'!AR35</f>
        <v>73.333333333333329</v>
      </c>
      <c r="AS35" s="11">
        <f>'Compare w prev (colored)'!AS35</f>
        <v>73.333333333333329</v>
      </c>
      <c r="AT35" s="9"/>
    </row>
    <row r="36" spans="1:46">
      <c r="A36" s="2" t="s">
        <v>66</v>
      </c>
      <c r="B36" s="19">
        <f>'Compare w prev (colored)'!B36</f>
        <v>8</v>
      </c>
      <c r="C36" s="19"/>
      <c r="D36" s="19">
        <f>'Compare w prev (colored)'!D36</f>
        <v>23</v>
      </c>
      <c r="E36" s="19"/>
      <c r="F36" s="19">
        <f>'Compare w prev (colored)'!F36</f>
        <v>15</v>
      </c>
      <c r="G36" s="19"/>
      <c r="H36" s="19">
        <f>'Compare w prev (colored)'!H36</f>
        <v>28</v>
      </c>
      <c r="I36" s="19"/>
      <c r="J36" s="19">
        <f>'Compare w prev (colored)'!J36</f>
        <v>21</v>
      </c>
      <c r="K36" s="19"/>
      <c r="L36" s="19">
        <f>'Compare w prev (colored)'!L36</f>
        <v>21</v>
      </c>
      <c r="M36" s="19"/>
      <c r="N36" s="19">
        <f>'Compare w prev (colored)'!N36</f>
        <v>7</v>
      </c>
      <c r="O36" s="19"/>
      <c r="P36" s="19">
        <f>'Compare w prev (colored)'!P36</f>
        <v>6</v>
      </c>
      <c r="Q36" s="19"/>
      <c r="R36" s="19">
        <f>'Compare w prev (colored)'!R36</f>
        <v>8</v>
      </c>
      <c r="S36" s="19">
        <f>'Compare w prev (colored)'!S36</f>
        <v>27</v>
      </c>
      <c r="T36" s="19"/>
      <c r="U36" s="19">
        <f>'Compare w prev (colored)'!U36</f>
        <v>4</v>
      </c>
      <c r="V36" s="19">
        <f>'Compare w prev (colored)'!V36</f>
        <v>8</v>
      </c>
      <c r="W36" s="19"/>
      <c r="X36" s="19">
        <f>'Compare w prev (colored)'!X36</f>
        <v>19</v>
      </c>
      <c r="Y36" s="19">
        <f>'Compare w prev (colored)'!Y36</f>
        <v>3</v>
      </c>
      <c r="Z36" s="19"/>
      <c r="AA36" s="19">
        <f>'Compare w prev (colored)'!AA36</f>
        <v>4</v>
      </c>
      <c r="AB36" s="19"/>
      <c r="AC36" s="19">
        <f>'Compare w prev (colored)'!AC36</f>
        <v>6</v>
      </c>
      <c r="AD36" s="19"/>
      <c r="AE36" s="19">
        <f>'Compare w prev (colored)'!AE36</f>
        <v>9</v>
      </c>
      <c r="AF36" s="19"/>
      <c r="AG36" s="19">
        <f>'Compare w prev (colored)'!AG36</f>
        <v>28</v>
      </c>
      <c r="AH36" s="19"/>
      <c r="AI36" s="19">
        <f>'Compare w prev (colored)'!AI36</f>
        <v>18</v>
      </c>
      <c r="AJ36" s="19"/>
      <c r="AK36" s="19">
        <f>'Compare w prev (colored)'!AK36</f>
        <v>6</v>
      </c>
      <c r="AL36" s="19">
        <f>'Compare w prev (colored)'!AL36</f>
        <v>29</v>
      </c>
      <c r="AM36" s="19"/>
      <c r="AN36" s="19">
        <f>'Compare w prev (colored)'!AN36</f>
        <v>10</v>
      </c>
      <c r="AO36" s="19"/>
      <c r="AP36" s="19">
        <f>'Compare w prev (colored)'!AP36</f>
        <v>18</v>
      </c>
      <c r="AQ36" s="19"/>
      <c r="AR36" s="19">
        <f>'Compare w prev (colored)'!AR36</f>
        <v>17</v>
      </c>
      <c r="AS36" s="19"/>
      <c r="AT36" s="9"/>
    </row>
    <row r="37" spans="1:46">
      <c r="A37" s="2" t="s">
        <v>65</v>
      </c>
      <c r="B37" s="24">
        <f>'Compare w prev (colored)'!B37</f>
        <v>6</v>
      </c>
      <c r="C37" s="19"/>
      <c r="D37" s="32">
        <f>'Compare w prev (colored)'!D37</f>
        <v>12</v>
      </c>
      <c r="E37" s="32"/>
      <c r="F37" s="32">
        <f>'Compare w prev (colored)'!F37</f>
        <v>12</v>
      </c>
      <c r="G37" s="32"/>
      <c r="H37" s="32">
        <f>'Compare w prev (colored)'!H37</f>
        <v>10</v>
      </c>
      <c r="I37" s="32"/>
      <c r="J37" s="32">
        <f>'Compare w prev (colored)'!J37</f>
        <v>15</v>
      </c>
      <c r="K37" s="32"/>
      <c r="L37" s="32">
        <f>'Compare w prev (colored)'!L37</f>
        <v>11</v>
      </c>
      <c r="M37" s="32"/>
      <c r="N37" s="32">
        <f>'Compare w prev (colored)'!N37</f>
        <v>3</v>
      </c>
      <c r="O37" s="32"/>
      <c r="P37" s="32">
        <f>'Compare w prev (colored)'!P37</f>
        <v>4</v>
      </c>
      <c r="Q37" s="32"/>
      <c r="R37" s="32">
        <f>'Compare w prev (colored)'!R37</f>
        <v>2</v>
      </c>
      <c r="S37" s="32">
        <f>'Compare w prev (colored)'!S37</f>
        <v>4</v>
      </c>
      <c r="T37" s="32"/>
      <c r="U37" s="32">
        <f>'Compare w prev (colored)'!U37</f>
        <v>6</v>
      </c>
      <c r="V37" s="32">
        <f>'Compare w prev (colored)'!V37</f>
        <v>2</v>
      </c>
      <c r="W37" s="32"/>
      <c r="X37" s="32">
        <f>'Compare w prev (colored)'!X37</f>
        <v>8</v>
      </c>
      <c r="Y37" s="32">
        <f>'Compare w prev (colored)'!Y37</f>
        <v>1</v>
      </c>
      <c r="Z37" s="32"/>
      <c r="AA37" s="32">
        <f>'Compare w prev (colored)'!AA37</f>
        <v>6</v>
      </c>
      <c r="AB37" s="32"/>
      <c r="AC37" s="32">
        <f>'Compare w prev (colored)'!AC37</f>
        <v>4</v>
      </c>
      <c r="AD37" s="32"/>
      <c r="AE37" s="32">
        <f>'Compare w prev (colored)'!AE37</f>
        <v>1</v>
      </c>
      <c r="AF37" s="32"/>
      <c r="AG37" s="32">
        <f>'Compare w prev (colored)'!AG37</f>
        <v>3</v>
      </c>
      <c r="AH37" s="32"/>
      <c r="AI37" s="32">
        <f>'Compare w prev (colored)'!AI37</f>
        <v>12</v>
      </c>
      <c r="AJ37" s="32"/>
      <c r="AK37" s="32">
        <f>'Compare w prev (colored)'!AK37</f>
        <v>4</v>
      </c>
      <c r="AL37" s="32">
        <f>'Compare w prev (colored)'!AL37</f>
        <v>2</v>
      </c>
      <c r="AM37" s="32"/>
      <c r="AN37" s="32">
        <f>'Compare w prev (colored)'!AN37</f>
        <v>0</v>
      </c>
      <c r="AO37" s="32"/>
      <c r="AP37" s="32">
        <f>'Compare w prev (colored)'!AP37</f>
        <v>17</v>
      </c>
      <c r="AQ37" s="32"/>
      <c r="AR37" s="32">
        <f>'Compare w prev (colored)'!AR37</f>
        <v>16</v>
      </c>
      <c r="AS37" s="32"/>
      <c r="AT37" s="9"/>
    </row>
    <row r="38" spans="1:46">
      <c r="A38" s="2" t="s">
        <v>67</v>
      </c>
      <c r="B38" s="23">
        <f>'Compare w prev (colored)'!B38</f>
        <v>3.3852693564008645</v>
      </c>
      <c r="C38" s="11"/>
      <c r="D38" s="30">
        <f>'Compare w prev (colored)'!D38</f>
        <v>2.0559779372293012</v>
      </c>
      <c r="E38" s="30"/>
      <c r="F38" s="30">
        <f>'Compare w prev (colored)'!F38</f>
        <v>0.22388484433037201</v>
      </c>
      <c r="G38" s="30"/>
      <c r="H38" s="30">
        <f>'Compare w prev (colored)'!H38</f>
        <v>3.3201415835326999</v>
      </c>
      <c r="I38" s="30"/>
      <c r="J38" s="30">
        <f>'Compare w prev (colored)'!J38</f>
        <v>0.74673128359426244</v>
      </c>
      <c r="K38" s="30"/>
      <c r="L38" s="30">
        <f>'Compare w prev (colored)'!L38</f>
        <v>1.2373937619595496</v>
      </c>
      <c r="M38" s="30"/>
      <c r="N38" s="30">
        <f>'Compare w prev (colored)'!N38</f>
        <v>2.3383544402236316</v>
      </c>
      <c r="O38" s="30"/>
      <c r="P38" s="30">
        <f>'Compare w prev (colored)'!P38</f>
        <v>-1.2983725978028313</v>
      </c>
      <c r="Q38" s="30"/>
      <c r="R38" s="30">
        <f>'Compare w prev (colored)'!R38</f>
        <v>1.5928076948715195</v>
      </c>
      <c r="S38" s="30">
        <f>'Compare w prev (colored)'!S38</f>
        <v>9.0140008244849277</v>
      </c>
      <c r="T38" s="30"/>
      <c r="U38" s="30">
        <f>'Compare w prev (colored)'!U38</f>
        <v>-0.76051065043168431</v>
      </c>
      <c r="V38" s="30">
        <f>'Compare w prev (colored)'!V38</f>
        <v>0.83530566895171465</v>
      </c>
      <c r="W38" s="30"/>
      <c r="X38" s="30">
        <f>'Compare w prev (colored)'!X38</f>
        <v>2.1605734007506205</v>
      </c>
      <c r="Y38" s="30">
        <f>'Compare w prev (colored)'!Y38</f>
        <v>21.330071752417542</v>
      </c>
      <c r="Z38" s="30"/>
      <c r="AA38" s="30">
        <f>'Compare w prev (colored)'!AA38</f>
        <v>-0.3408448465844181</v>
      </c>
      <c r="AB38" s="30"/>
      <c r="AC38" s="30">
        <f>'Compare w prev (colored)'!AC38</f>
        <v>0.87918585641926972</v>
      </c>
      <c r="AD38" s="30"/>
      <c r="AE38" s="30">
        <f>'Compare w prev (colored)'!AE38</f>
        <v>3.3053989979752827</v>
      </c>
      <c r="AF38" s="30"/>
      <c r="AG38" s="30">
        <f>'Compare w prev (colored)'!AG38</f>
        <v>9.0104482746917789</v>
      </c>
      <c r="AH38" s="30"/>
      <c r="AI38" s="30">
        <f>'Compare w prev (colored)'!AI38</f>
        <v>5.2617218947908917</v>
      </c>
      <c r="AJ38" s="30"/>
      <c r="AK38" s="30">
        <f>'Compare w prev (colored)'!AK38</f>
        <v>0.32950804462284111</v>
      </c>
      <c r="AL38" s="30">
        <f>'Compare w prev (colored)'!AL38</f>
        <v>15.616999779132721</v>
      </c>
      <c r="AM38" s="30"/>
      <c r="AN38" s="30">
        <f>'Compare w prev (colored)'!AN38</f>
        <v>3.5979594858559096</v>
      </c>
      <c r="AO38" s="30"/>
      <c r="AP38" s="30">
        <f>'Compare w prev (colored)'!AP38</f>
        <v>0.27815926554879894</v>
      </c>
      <c r="AQ38" s="30"/>
      <c r="AR38" s="30">
        <f>'Compare w prev (colored)'!AR38</f>
        <v>8.0194679186647494E-2</v>
      </c>
      <c r="AS38" s="30"/>
      <c r="AT38" s="10"/>
    </row>
    <row r="39" spans="1:46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  <row r="96" spans="1:2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  <row r="105" spans="1:2">
      <c r="A105" s="8"/>
      <c r="B105" s="8"/>
    </row>
    <row r="106" spans="1:2">
      <c r="A106" s="8"/>
      <c r="B106" s="8"/>
    </row>
    <row r="107" spans="1:2">
      <c r="A107" s="8"/>
      <c r="B107" s="8"/>
    </row>
  </sheetData>
  <mergeCells count="40">
    <mergeCell ref="AA3:AB3"/>
    <mergeCell ref="B3:C3"/>
    <mergeCell ref="D3:E3"/>
    <mergeCell ref="F3:G3"/>
    <mergeCell ref="H3:I3"/>
    <mergeCell ref="J3:K3"/>
    <mergeCell ref="L3:M3"/>
    <mergeCell ref="N3:O3"/>
    <mergeCell ref="P3:Q3"/>
    <mergeCell ref="R3:T3"/>
    <mergeCell ref="U3:W3"/>
    <mergeCell ref="X3:Z3"/>
    <mergeCell ref="AP3:AQ3"/>
    <mergeCell ref="AR3:AS3"/>
    <mergeCell ref="B4:C4"/>
    <mergeCell ref="D4:E4"/>
    <mergeCell ref="F4:G4"/>
    <mergeCell ref="H4:I4"/>
    <mergeCell ref="J4:K4"/>
    <mergeCell ref="L4:M4"/>
    <mergeCell ref="N4:O4"/>
    <mergeCell ref="P4:Q4"/>
    <mergeCell ref="AC3:AD3"/>
    <mergeCell ref="AE3:AF3"/>
    <mergeCell ref="AG3:AH3"/>
    <mergeCell ref="AI3:AJ3"/>
    <mergeCell ref="AK3:AM3"/>
    <mergeCell ref="AN3:AO3"/>
    <mergeCell ref="AR4:AS4"/>
    <mergeCell ref="R4:T4"/>
    <mergeCell ref="U4:W4"/>
    <mergeCell ref="X4:Z4"/>
    <mergeCell ref="AA4:AB4"/>
    <mergeCell ref="AC4:AD4"/>
    <mergeCell ref="AE4:AF4"/>
    <mergeCell ref="AG4:AH4"/>
    <mergeCell ref="AI4:AJ4"/>
    <mergeCell ref="AK4:AM4"/>
    <mergeCell ref="AN4:AO4"/>
    <mergeCell ref="AP4:AQ4"/>
  </mergeCells>
  <phoneticPr fontId="1" type="noConversion"/>
  <conditionalFormatting sqref="B6:AS38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C039-7646-9D49-86BE-E28F827470D5}">
  <dimension ref="A3:AT107"/>
  <sheetViews>
    <sheetView zoomScale="90" zoomScaleNormal="90" workbookViewId="0">
      <pane xSplit="1" topLeftCell="H1" activePane="topRight" state="frozen"/>
      <selection activeCell="A3" sqref="A3"/>
      <selection pane="topRight" activeCell="O27" sqref="O27"/>
    </sheetView>
  </sheetViews>
  <sheetFormatPr baseColWidth="10" defaultRowHeight="18"/>
  <cols>
    <col min="1" max="1" width="11.85546875" style="26" customWidth="1"/>
    <col min="2" max="45" width="7.85546875" style="26" customWidth="1"/>
    <col min="46" max="46" width="9.5703125" style="26" customWidth="1"/>
    <col min="47" max="16384" width="10.7109375" style="26"/>
  </cols>
  <sheetData>
    <row r="3" spans="1:46">
      <c r="A3" s="25" t="s">
        <v>58</v>
      </c>
      <c r="B3" s="42" t="str">
        <f>'Compare w prev'!B3</f>
        <v>Distance</v>
      </c>
      <c r="C3" s="42"/>
      <c r="D3" s="42" t="str">
        <f>'Compare w prev'!D3</f>
        <v>TSC</v>
      </c>
      <c r="E3" s="42"/>
      <c r="F3" s="42" t="str">
        <f>'Compare w prev'!F3</f>
        <v>TSC</v>
      </c>
      <c r="G3" s="42"/>
      <c r="H3" s="42" t="str">
        <f>'Compare w prev'!H3</f>
        <v>TSC</v>
      </c>
      <c r="I3" s="42"/>
      <c r="J3" s="42" t="str">
        <f>'Compare w prev'!J3</f>
        <v>TSC</v>
      </c>
      <c r="K3" s="42"/>
      <c r="L3" s="42" t="str">
        <f>'Compare w prev'!AP3</f>
        <v>TSC</v>
      </c>
      <c r="M3" s="42"/>
      <c r="N3" s="42" t="str">
        <f>'Compare w prev'!AR3</f>
        <v>TSC</v>
      </c>
      <c r="O3" s="42"/>
      <c r="P3" s="42" t="str">
        <f>'Compare w prev'!R3</f>
        <v>Foundation</v>
      </c>
      <c r="Q3" s="42"/>
      <c r="R3" s="42"/>
      <c r="S3" s="42" t="str">
        <f>'Compare w prev'!U3</f>
        <v>Foundation</v>
      </c>
      <c r="T3" s="42"/>
      <c r="U3" s="42"/>
      <c r="V3" s="42" t="str">
        <f>'Compare w prev'!X3</f>
        <v>Foundation</v>
      </c>
      <c r="W3" s="42"/>
      <c r="X3" s="42"/>
      <c r="Y3" s="42" t="str">
        <f>'Compare w prev'!AA3</f>
        <v>Foundation</v>
      </c>
      <c r="Z3" s="42"/>
      <c r="AA3" s="42" t="str">
        <f>'Compare w prev'!AK3</f>
        <v>Foundation</v>
      </c>
      <c r="AB3" s="42"/>
      <c r="AC3" s="42"/>
      <c r="AD3" s="42" t="str">
        <f>'Compare w prev'!L3</f>
        <v>TSF</v>
      </c>
      <c r="AE3" s="42"/>
      <c r="AF3" s="42" t="str">
        <f>'Compare w prev'!N3</f>
        <v>TSF</v>
      </c>
      <c r="AG3" s="42"/>
      <c r="AH3" s="42" t="str">
        <f>'Compare w prev'!P3</f>
        <v>TSF</v>
      </c>
      <c r="AI3" s="42"/>
      <c r="AJ3" s="42" t="str">
        <f>'Compare w prev'!AC3</f>
        <v>TSF</v>
      </c>
      <c r="AK3" s="42"/>
      <c r="AL3" s="42" t="str">
        <f>'Compare w prev'!AE3</f>
        <v>TSF</v>
      </c>
      <c r="AM3" s="42"/>
      <c r="AN3" s="42" t="str">
        <f>'Compare w prev'!AG3</f>
        <v>TSF</v>
      </c>
      <c r="AO3" s="42"/>
      <c r="AP3" s="42" t="str">
        <f>'Compare w prev'!AI3</f>
        <v>TSF</v>
      </c>
      <c r="AQ3" s="42"/>
      <c r="AR3" s="42" t="str">
        <f>'Compare w prev'!AN3</f>
        <v>TSF</v>
      </c>
      <c r="AS3" s="42"/>
    </row>
    <row r="4" spans="1:46">
      <c r="A4" s="25" t="s">
        <v>59</v>
      </c>
      <c r="B4" s="42" t="str">
        <f>'Compare w prev'!B4</f>
        <v>DTW_D</v>
      </c>
      <c r="C4" s="42"/>
      <c r="D4" s="42" t="str">
        <f>'Compare w prev'!D4</f>
        <v>ROCKET</v>
      </c>
      <c r="E4" s="42"/>
      <c r="F4" s="42" t="str">
        <f>'Compare w prev'!F4</f>
        <v>HC2</v>
      </c>
      <c r="G4" s="42"/>
      <c r="H4" s="42" t="str">
        <f>'Compare w prev'!H4</f>
        <v>Hydra</v>
      </c>
      <c r="I4" s="42"/>
      <c r="J4" s="42" t="str">
        <f>'Compare w prev'!J4</f>
        <v>MR+Hydra</v>
      </c>
      <c r="K4" s="42"/>
      <c r="L4" s="42" t="str">
        <f>'Compare w prev'!AP4</f>
        <v>InterpGN</v>
      </c>
      <c r="M4" s="42"/>
      <c r="N4" s="42" t="str">
        <f>'Compare w prev'!AR4</f>
        <v>TSCMamba</v>
      </c>
      <c r="O4" s="42"/>
      <c r="P4" s="42" t="str">
        <f>'Compare w prev'!R4</f>
        <v>TimesNet</v>
      </c>
      <c r="Q4" s="42"/>
      <c r="R4" s="42"/>
      <c r="S4" s="42" t="str">
        <f>'Compare w prev'!U4</f>
        <v>ModernTCN</v>
      </c>
      <c r="T4" s="42"/>
      <c r="U4" s="42"/>
      <c r="V4" s="42" t="str">
        <f>'Compare w prev'!X4</f>
        <v>TSLANet</v>
      </c>
      <c r="W4" s="42"/>
      <c r="X4" s="42"/>
      <c r="Y4" s="42" t="str">
        <f>'Compare w prev'!AA4</f>
        <v>TimeMixer++</v>
      </c>
      <c r="Z4" s="42"/>
      <c r="AA4" s="42" t="str">
        <f>'Compare w prev'!AK4</f>
        <v>GPT4TS</v>
      </c>
      <c r="AB4" s="42"/>
      <c r="AC4" s="42"/>
      <c r="AD4" s="42" t="str">
        <f>'Compare w prev'!L4</f>
        <v>DLinear</v>
      </c>
      <c r="AE4" s="42"/>
      <c r="AF4" s="42" t="str">
        <f>'Compare w prev'!N4</f>
        <v>LightTS</v>
      </c>
      <c r="AG4" s="42"/>
      <c r="AH4" s="42" t="str">
        <f>'Compare w prev'!P4</f>
        <v>MTS-Mixer</v>
      </c>
      <c r="AI4" s="42"/>
      <c r="AJ4" s="42" t="str">
        <f>'Compare w prev'!AC4</f>
        <v>FEDformer</v>
      </c>
      <c r="AK4" s="42"/>
      <c r="AL4" s="42" t="str">
        <f>'Compare w prev'!AE4</f>
        <v>ETSformer</v>
      </c>
      <c r="AM4" s="42"/>
      <c r="AN4" s="42" t="str">
        <f>'Compare w prev'!AG4</f>
        <v>Crossformer</v>
      </c>
      <c r="AO4" s="42"/>
      <c r="AP4" s="42" t="str">
        <f>'Compare w prev'!AI4</f>
        <v>PatchTST</v>
      </c>
      <c r="AQ4" s="42"/>
      <c r="AR4" s="42" t="str">
        <f>'Compare w prev'!AN4</f>
        <v>iTransformer</v>
      </c>
      <c r="AS4" s="42"/>
      <c r="AT4" s="4"/>
    </row>
    <row r="5" spans="1:46" ht="55" customHeight="1">
      <c r="A5" s="25" t="s">
        <v>51</v>
      </c>
      <c r="B5" s="27" t="str">
        <f>'Compare w prev'!B5</f>
        <v>TimesNet</v>
      </c>
      <c r="C5" s="28" t="str">
        <f>'Compare w prev'!C5</f>
        <v>ours</v>
      </c>
      <c r="D5" s="6" t="str">
        <f>'Compare w prev'!D5</f>
        <v>TimesNet
TSLANet
TSCMamba</v>
      </c>
      <c r="E5" s="28" t="str">
        <f>'Compare w prev'!E5</f>
        <v>ours</v>
      </c>
      <c r="F5" s="27" t="str">
        <f>'Compare w prev'!F5</f>
        <v>original</v>
      </c>
      <c r="G5" s="28" t="str">
        <f>'Compare w prev'!G5</f>
        <v>ours</v>
      </c>
      <c r="H5" s="27" t="str">
        <f>'Compare w prev'!H5</f>
        <v>BORF</v>
      </c>
      <c r="I5" s="28" t="str">
        <f>'Compare w prev'!I5</f>
        <v>ours</v>
      </c>
      <c r="J5" s="27" t="str">
        <f>'Compare w prev'!J5</f>
        <v>BORF</v>
      </c>
      <c r="K5" s="28" t="str">
        <f>'Compare w prev'!K5</f>
        <v>ours</v>
      </c>
      <c r="L5" s="27" t="str">
        <f>'Compare w prev'!AP5</f>
        <v>original</v>
      </c>
      <c r="M5" s="28" t="str">
        <f>'Compare w prev'!AQ5</f>
        <v>ours</v>
      </c>
      <c r="N5" s="27" t="str">
        <f>'Compare w prev'!AR5</f>
        <v>original</v>
      </c>
      <c r="O5" s="28" t="str">
        <f>'Compare w prev'!AS5</f>
        <v>ours</v>
      </c>
      <c r="P5" s="6" t="str">
        <f>'Compare w prev'!R5</f>
        <v>original</v>
      </c>
      <c r="Q5" s="6" t="str">
        <f>'Compare w prev'!S5</f>
        <v>TSLANet
TSCMamba</v>
      </c>
      <c r="R5" s="28" t="str">
        <f>'Compare w prev'!T5</f>
        <v>ours</v>
      </c>
      <c r="S5" s="27" t="str">
        <f>'Compare w prev'!U5</f>
        <v>original</v>
      </c>
      <c r="T5" s="27" t="str">
        <f>'Compare w prev'!V5</f>
        <v>revisited</v>
      </c>
      <c r="U5" s="28" t="str">
        <f>'Compare w prev'!W5</f>
        <v>ours</v>
      </c>
      <c r="V5" s="27" t="str">
        <f>'Compare w prev'!X5</f>
        <v>original</v>
      </c>
      <c r="W5" s="27" t="str">
        <f>'Compare w prev'!Y5</f>
        <v>TSCMamba</v>
      </c>
      <c r="X5" s="28" t="str">
        <f>'Compare w prev'!Z5</f>
        <v>ours</v>
      </c>
      <c r="Y5" s="27" t="str">
        <f>'Compare w prev'!AA5</f>
        <v>original</v>
      </c>
      <c r="Z5" s="28" t="str">
        <f>'Compare w prev'!AB5</f>
        <v>ours</v>
      </c>
      <c r="AA5" s="27" t="str">
        <f>'Compare w prev'!AK5</f>
        <v>original</v>
      </c>
      <c r="AB5" s="6" t="str">
        <f>'Compare w prev'!AL5</f>
        <v>TSLANet
TSCMamba</v>
      </c>
      <c r="AC5" s="28" t="str">
        <f>'Compare w prev'!AM5</f>
        <v>ours</v>
      </c>
      <c r="AD5" s="6" t="str">
        <f>'Compare w prev'!L5</f>
        <v>TimesNet
TSLANet
TSCMamba</v>
      </c>
      <c r="AE5" s="28" t="str">
        <f>'Compare w prev'!M5</f>
        <v>ours</v>
      </c>
      <c r="AF5" s="27" t="str">
        <f>'Compare w prev'!N5</f>
        <v>TimesNet</v>
      </c>
      <c r="AG5" s="28" t="str">
        <f>'Compare w prev'!O5</f>
        <v>ours</v>
      </c>
      <c r="AH5" s="27" t="str">
        <f>'Compare w prev'!P5</f>
        <v>ModernTCN</v>
      </c>
      <c r="AI5" s="28" t="str">
        <f>'Compare w prev'!Q5</f>
        <v>ours</v>
      </c>
      <c r="AJ5" s="27" t="str">
        <f>'Compare w prev'!AC5</f>
        <v>TimesNet</v>
      </c>
      <c r="AK5" s="28" t="str">
        <f>'Compare w prev'!AD5</f>
        <v>ours</v>
      </c>
      <c r="AL5" s="27" t="str">
        <f>'Compare w prev'!AE5</f>
        <v>TimesNet</v>
      </c>
      <c r="AM5" s="28" t="str">
        <f>'Compare w prev'!AF5</f>
        <v>ours</v>
      </c>
      <c r="AN5" s="6" t="str">
        <f>'Compare w prev'!AG5</f>
        <v>ModernTCN
TSLANet
TSCMamba</v>
      </c>
      <c r="AO5" s="28" t="str">
        <f>'Compare w prev'!AH5</f>
        <v>ours</v>
      </c>
      <c r="AP5" s="6" t="str">
        <f>'Compare w prev'!AI5</f>
        <v>ModernTCN
TSLANet
TSCMamba</v>
      </c>
      <c r="AQ5" s="28" t="str">
        <f>'Compare w prev'!AJ5</f>
        <v>ours</v>
      </c>
      <c r="AR5" s="27" t="str">
        <f>'Compare w prev'!AN5</f>
        <v>TimeMixer++</v>
      </c>
      <c r="AS5" s="28" t="str">
        <f>'Compare w prev'!AO5</f>
        <v>ours</v>
      </c>
      <c r="AT5" s="4"/>
    </row>
    <row r="6" spans="1:46">
      <c r="A6" s="29" t="s">
        <v>36</v>
      </c>
      <c r="B6" s="11">
        <f>'Compare w prev'!B6</f>
        <v>32.28136882129278</v>
      </c>
      <c r="C6" s="11">
        <f>'Compare w prev'!C6</f>
        <v>32.319391634980988</v>
      </c>
      <c r="D6" s="11">
        <f>'Compare w prev'!D6</f>
        <v>45.20912547528517</v>
      </c>
      <c r="E6" s="11">
        <f>'Compare w prev'!E6</f>
        <v>44.486692015209123</v>
      </c>
      <c r="F6" s="11">
        <f>'Compare w prev'!F6</f>
        <v>79.087452471482891</v>
      </c>
      <c r="G6" s="11">
        <f>'Compare w prev'!G6</f>
        <v>52.851711026615966</v>
      </c>
      <c r="H6" s="11">
        <f>'Compare w prev'!H6</f>
        <v>54.79087452471483</v>
      </c>
      <c r="I6" s="11">
        <f>'Compare w prev'!I6</f>
        <v>54.372623574144484</v>
      </c>
      <c r="J6" s="11">
        <f>'Compare w prev'!J6</f>
        <v>58.897338403041829</v>
      </c>
      <c r="K6" s="11">
        <f>'Compare w prev'!K6</f>
        <v>60.076045627376431</v>
      </c>
      <c r="L6" s="11">
        <f>'Compare w prev'!AP6</f>
        <v>30.418250950570343</v>
      </c>
      <c r="M6" s="11">
        <f>'Compare w prev'!AQ6</f>
        <v>28.897338403041822</v>
      </c>
      <c r="N6" s="11">
        <f>'Compare w prev'!AR6</f>
        <v>62.01520912547528</v>
      </c>
      <c r="O6" s="11">
        <f>'Compare w prev'!AS6</f>
        <v>30.798479087452474</v>
      </c>
      <c r="P6" s="11">
        <f>'Compare w prev'!R6</f>
        <v>35.70342205323194</v>
      </c>
      <c r="Q6" s="11">
        <f>'Compare w prev'!S6</f>
        <v>27.718631178707227</v>
      </c>
      <c r="R6" s="11">
        <f>'Compare w prev'!T6</f>
        <v>33.460076045627375</v>
      </c>
      <c r="S6" s="11">
        <f>'Compare w prev'!U6</f>
        <v>36.311787072243348</v>
      </c>
      <c r="T6" s="11">
        <f>'Compare w prev'!V6</f>
        <v>31.901140684410649</v>
      </c>
      <c r="U6" s="11">
        <f>'Compare w prev'!W6</f>
        <v>32.319391634980988</v>
      </c>
      <c r="V6" s="11">
        <f>'Compare w prev'!X6</f>
        <v>30.418250950570343</v>
      </c>
      <c r="W6" s="11"/>
      <c r="X6" s="11">
        <f>'Compare w prev'!Z6</f>
        <v>31.939163498098861</v>
      </c>
      <c r="Y6" s="11">
        <f>'Compare w prev'!AA6</f>
        <v>39.885931558935361</v>
      </c>
      <c r="Z6" s="11">
        <f>'Compare w prev'!AB6</f>
        <v>34.600760456273768</v>
      </c>
      <c r="AA6" s="11">
        <f>'Compare w prev'!AK6</f>
        <v>34.182509505703422</v>
      </c>
      <c r="AB6" s="11">
        <f>'Compare w prev'!AL6</f>
        <v>25.475285171102662</v>
      </c>
      <c r="AC6" s="11">
        <f>'Compare w prev'!AM6</f>
        <v>32.319391634980988</v>
      </c>
      <c r="AD6" s="30">
        <f>'Compare w prev'!L6</f>
        <v>33.460076045627375</v>
      </c>
      <c r="AE6" s="30">
        <f>'Compare w prev'!M6</f>
        <v>31.178707224334602</v>
      </c>
      <c r="AF6" s="30">
        <f>'Compare w prev'!N6</f>
        <v>29.695817490494292</v>
      </c>
      <c r="AG6" s="30">
        <f>'Compare w prev'!O6</f>
        <v>32.319391634980988</v>
      </c>
      <c r="AH6" s="30">
        <f>'Compare w prev'!P6</f>
        <v>33.802281368821298</v>
      </c>
      <c r="AI6" s="30">
        <f>'Compare w prev'!Q6</f>
        <v>30.798479087452474</v>
      </c>
      <c r="AJ6" s="11">
        <f>'Compare w prev'!AC6</f>
        <v>31.21673003802281</v>
      </c>
      <c r="AK6" s="11">
        <f>'Compare w prev'!AD6</f>
        <v>33.840304182509506</v>
      </c>
      <c r="AL6" s="11">
        <f>'Compare w prev'!AE6</f>
        <v>28.098859315589358</v>
      </c>
      <c r="AM6" s="11">
        <f>'Compare w prev'!AF6</f>
        <v>33.079847908745244</v>
      </c>
      <c r="AN6" s="11">
        <f>'Compare w prev'!AG6</f>
        <v>37.984790874524712</v>
      </c>
      <c r="AO6" s="11">
        <f>'Compare w prev'!AH6</f>
        <v>43.346007604562736</v>
      </c>
      <c r="AP6" s="11">
        <f>'Compare w prev'!AI6</f>
        <v>32.813688212927758</v>
      </c>
      <c r="AQ6" s="11">
        <f>'Compare w prev'!AJ6</f>
        <v>32.699619771863119</v>
      </c>
      <c r="AR6" s="11">
        <f>'Compare w prev'!AN6</f>
        <v>28.098859315589358</v>
      </c>
      <c r="AS6" s="11">
        <f>'Compare w prev'!AO6</f>
        <v>31.939163498098861</v>
      </c>
      <c r="AT6" s="31"/>
    </row>
    <row r="7" spans="1:46">
      <c r="A7" s="29" t="s">
        <v>0</v>
      </c>
      <c r="B7" s="11">
        <f>'Compare w prev'!B7</f>
        <v>52.900113507377981</v>
      </c>
      <c r="C7" s="11">
        <f>'Compare w prev'!C7</f>
        <v>52.86606129398411</v>
      </c>
      <c r="D7" s="11">
        <f>'Compare w prev'!D7</f>
        <v>64.699205448354149</v>
      </c>
      <c r="E7" s="11">
        <f>'Compare w prev'!E7</f>
        <v>61.606129398410893</v>
      </c>
      <c r="F7" s="11">
        <f>'Compare w prev'!F7</f>
        <v>71.347900113507379</v>
      </c>
      <c r="G7" s="11">
        <f>'Compare w prev'!G7</f>
        <v>61.379114642451761</v>
      </c>
      <c r="H7" s="11">
        <f>'Compare w prev'!H7</f>
        <v>52.301362088535754</v>
      </c>
      <c r="I7" s="11">
        <f>'Compare w prev'!I7</f>
        <v>60.981838819523269</v>
      </c>
      <c r="J7" s="11">
        <f>'Compare w prev'!J7</f>
        <v>61.901248581157773</v>
      </c>
      <c r="K7" s="11">
        <f>'Compare w prev'!K7</f>
        <v>61.293984108967081</v>
      </c>
      <c r="L7" s="11">
        <f>'Compare w prev'!AP7</f>
        <v>66.401816118047677</v>
      </c>
      <c r="M7" s="11">
        <f>'Compare w prev'!AQ7</f>
        <v>63.791146424517599</v>
      </c>
      <c r="N7" s="11">
        <f>'Compare w prev'!AR7</f>
        <v>69.401248581157773</v>
      </c>
      <c r="O7" s="11">
        <f>'Compare w prev'!AS7</f>
        <v>70.204313280363223</v>
      </c>
      <c r="P7" s="11">
        <f>'Compare w prev'!R7</f>
        <v>68.601021566401826</v>
      </c>
      <c r="Q7" s="11">
        <f>'Compare w prev'!S7</f>
        <v>67.468785471055611</v>
      </c>
      <c r="R7" s="11">
        <f>'Compare w prev'!T7</f>
        <v>70.147559591373437</v>
      </c>
      <c r="S7" s="11">
        <f>'Compare w prev'!U7</f>
        <v>70.800227014755961</v>
      </c>
      <c r="T7" s="11">
        <f>'Compare w prev'!V7</f>
        <v>68.700340522133942</v>
      </c>
      <c r="U7" s="11">
        <f>'Compare w prev'!W7</f>
        <v>66.997729852440415</v>
      </c>
      <c r="V7" s="11">
        <f>'Compare w prev'!X7</f>
        <v>66.770715096481268</v>
      </c>
      <c r="W7" s="11"/>
      <c r="X7" s="11">
        <f>'Compare w prev'!Z7</f>
        <v>66.969353007945514</v>
      </c>
      <c r="Y7" s="11">
        <f>'Compare w prev'!AA7</f>
        <v>71.799091940976155</v>
      </c>
      <c r="Z7" s="11">
        <f>'Compare w prev'!AB7</f>
        <v>69.665153234960272</v>
      </c>
      <c r="AA7" s="11">
        <f>'Compare w prev'!AK7</f>
        <v>69.199772985244039</v>
      </c>
      <c r="AB7" s="11">
        <f>'Compare w prev'!AL7</f>
        <v>65.578887627695806</v>
      </c>
      <c r="AC7" s="11">
        <f>'Compare w prev'!AM7</f>
        <v>68.615209988649255</v>
      </c>
      <c r="AD7" s="30">
        <f>'Compare w prev'!L7</f>
        <v>67.999432463110111</v>
      </c>
      <c r="AE7" s="30">
        <f>'Compare w prev'!M7</f>
        <v>69.494892167990912</v>
      </c>
      <c r="AF7" s="30">
        <f>'Compare w prev'!N7</f>
        <v>67.5</v>
      </c>
      <c r="AG7" s="30">
        <f>'Compare w prev'!O7</f>
        <v>68.473325766174796</v>
      </c>
      <c r="AH7" s="30">
        <f>'Compare w prev'!P7</f>
        <v>70.198637911464246</v>
      </c>
      <c r="AI7" s="30">
        <f>'Compare w prev'!Q7</f>
        <v>68.530079455164582</v>
      </c>
      <c r="AJ7" s="11">
        <f>'Compare w prev'!AC7</f>
        <v>65.998864926220207</v>
      </c>
      <c r="AK7" s="11">
        <f>'Compare w prev'!AD7</f>
        <v>69.892167990919404</v>
      </c>
      <c r="AL7" s="11">
        <f>'Compare w prev'!AE7</f>
        <v>66.299659477866072</v>
      </c>
      <c r="AM7" s="11">
        <f>'Compare w prev'!AF7</f>
        <v>68.33144154370035</v>
      </c>
      <c r="AN7" s="11">
        <f>'Compare w prev'!AG7</f>
        <v>68.700340522133942</v>
      </c>
      <c r="AO7" s="11">
        <f>'Compare w prev'!AH7</f>
        <v>69.636776390465386</v>
      </c>
      <c r="AP7" s="11">
        <f>'Compare w prev'!AI7</f>
        <v>68.961407491486938</v>
      </c>
      <c r="AQ7" s="11">
        <f>'Compare w prev'!AJ7</f>
        <v>68.076049943246304</v>
      </c>
      <c r="AR7" s="11">
        <f>'Compare w prev'!AN7</f>
        <v>66.299659477866072</v>
      </c>
      <c r="AS7" s="11">
        <f>'Compare w prev'!AO7</f>
        <v>68.416572077185009</v>
      </c>
      <c r="AT7" s="31"/>
    </row>
    <row r="8" spans="1:46">
      <c r="A8" s="29" t="s">
        <v>1</v>
      </c>
      <c r="B8" s="11">
        <f>'Compare w prev'!B8</f>
        <v>28.599999999999998</v>
      </c>
      <c r="C8" s="11">
        <f>'Compare w prev'!C8</f>
        <v>60.705882352941174</v>
      </c>
      <c r="D8" s="11">
        <f>'Compare w prev'!D8</f>
        <v>58.8</v>
      </c>
      <c r="E8" s="11">
        <f>'Compare w prev'!E8</f>
        <v>59.294117647058819</v>
      </c>
      <c r="F8" s="11">
        <f>'Compare w prev'!F8</f>
        <v>56.341176470588231</v>
      </c>
      <c r="G8" s="11">
        <f>'Compare w prev'!G8</f>
        <v>56.000000000000007</v>
      </c>
      <c r="H8" s="11">
        <f>'Compare w prev'!H8</f>
        <v>46.6</v>
      </c>
      <c r="I8" s="11">
        <f>'Compare w prev'!I8</f>
        <v>56.35294117647058</v>
      </c>
      <c r="J8" s="11">
        <f>'Compare w prev'!J8</f>
        <v>51.4</v>
      </c>
      <c r="K8" s="11">
        <f>'Compare w prev'!K8</f>
        <v>53.529411764705884</v>
      </c>
      <c r="L8" s="11">
        <f>'Compare w prev'!AP8</f>
        <v>61.882352941176464</v>
      </c>
      <c r="M8" s="11">
        <f>'Compare w prev'!AQ8</f>
        <v>58.705882352941174</v>
      </c>
      <c r="N8" s="11">
        <f>'Compare w prev'!AR8</f>
        <v>53.305882352941182</v>
      </c>
      <c r="O8" s="11">
        <f>'Compare w prev'!AS8</f>
        <v>45.058823529411761</v>
      </c>
      <c r="P8" s="11">
        <f>'Compare w prev'!R8</f>
        <v>32.105882352941173</v>
      </c>
      <c r="Q8" s="11">
        <f>'Compare w prev'!S8</f>
        <v>26.176470588235297</v>
      </c>
      <c r="R8" s="11">
        <f>'Compare w prev'!T8</f>
        <v>37.529411764705884</v>
      </c>
      <c r="S8" s="11">
        <f>'Compare w prev'!U8</f>
        <v>30.600000000000005</v>
      </c>
      <c r="T8" s="11">
        <f>'Compare w prev'!V8</f>
        <v>28.400000000000002</v>
      </c>
      <c r="U8" s="11">
        <f>'Compare w prev'!W8</f>
        <v>30.117647058823525</v>
      </c>
      <c r="V8" s="11">
        <f>'Compare w prev'!X8</f>
        <v>57.882352941176471</v>
      </c>
      <c r="W8" s="11"/>
      <c r="X8" s="11">
        <f>'Compare w prev'!Z8</f>
        <v>62</v>
      </c>
      <c r="Y8" s="11">
        <f>'Compare w prev'!AA8</f>
        <v>26.505882352941178</v>
      </c>
      <c r="Z8" s="11">
        <f>'Compare w prev'!AB8</f>
        <v>33.647058823529413</v>
      </c>
      <c r="AA8" s="11">
        <f>'Compare w prev'!AK8</f>
        <v>32.705882352941181</v>
      </c>
      <c r="AB8" s="11">
        <f>'Compare w prev'!AL8</f>
        <v>3.7647058823529407</v>
      </c>
      <c r="AC8" s="11">
        <f>'Compare w prev'!AM8</f>
        <v>34.117647058823529</v>
      </c>
      <c r="AD8" s="30">
        <f>'Compare w prev'!L8</f>
        <v>27</v>
      </c>
      <c r="AE8" s="30">
        <f>'Compare w prev'!M8</f>
        <v>23.764705882352942</v>
      </c>
      <c r="AF8" s="30">
        <f>'Compare w prev'!N8</f>
        <v>26.10588235294118</v>
      </c>
      <c r="AG8" s="30">
        <f>'Compare w prev'!O8</f>
        <v>25.058823529411768</v>
      </c>
      <c r="AH8" s="30">
        <f>'Compare w prev'!P8</f>
        <v>26</v>
      </c>
      <c r="AI8" s="30">
        <f>'Compare w prev'!Q8</f>
        <v>19.647058823529413</v>
      </c>
      <c r="AJ8" s="11">
        <f>'Compare w prev'!AC8</f>
        <v>28.000000000000004</v>
      </c>
      <c r="AK8" s="11">
        <f>'Compare w prev'!AD8</f>
        <v>33.411764705882355</v>
      </c>
      <c r="AL8" s="11">
        <f>'Compare w prev'!AE8</f>
        <v>32.505882352941178</v>
      </c>
      <c r="AM8" s="11">
        <f>'Compare w prev'!AF8</f>
        <v>35.647058823529406</v>
      </c>
      <c r="AN8" s="11">
        <f>'Compare w prev'!AG8</f>
        <v>28.800000000000004</v>
      </c>
      <c r="AO8" s="11">
        <f>'Compare w prev'!AH8</f>
        <v>30.352941176470587</v>
      </c>
      <c r="AP8" s="11">
        <f>'Compare w prev'!AI8</f>
        <v>29.599999999999998</v>
      </c>
      <c r="AQ8" s="11">
        <f>'Compare w prev'!AJ8</f>
        <v>29.52941176470588</v>
      </c>
      <c r="AR8" s="11">
        <f>'Compare w prev'!AN8</f>
        <v>24.2</v>
      </c>
      <c r="AS8" s="11">
        <f>'Compare w prev'!AO8</f>
        <v>31.294117647058822</v>
      </c>
      <c r="AT8" s="31"/>
    </row>
    <row r="9" spans="1:46">
      <c r="A9" s="29" t="s">
        <v>2</v>
      </c>
      <c r="B9" s="11">
        <f>'Compare w prev'!B9</f>
        <v>71.707317073170728</v>
      </c>
      <c r="C9" s="11">
        <f>'Compare w prev'!C9</f>
        <v>71.707317073170728</v>
      </c>
      <c r="D9" s="11">
        <f>'Compare w prev'!D9</f>
        <v>75.609756097560975</v>
      </c>
      <c r="E9" s="11">
        <f>'Compare w prev'!E9</f>
        <v>75.609756097560975</v>
      </c>
      <c r="F9" s="11">
        <f>'Compare w prev'!F9</f>
        <v>72.878048780487802</v>
      </c>
      <c r="G9" s="11">
        <f>'Compare w prev'!G9</f>
        <v>78.536585365853668</v>
      </c>
      <c r="H9" s="11">
        <f>'Compare w prev'!H9</f>
        <v>76.097560975609753</v>
      </c>
      <c r="I9" s="11">
        <f>'Compare w prev'!I9</f>
        <v>76.585365853658544</v>
      </c>
      <c r="J9" s="11">
        <f>'Compare w prev'!J9</f>
        <v>73.219512195121951</v>
      </c>
      <c r="K9" s="11">
        <f>'Compare w prev'!K9</f>
        <v>77.073170731707322</v>
      </c>
      <c r="L9" s="11">
        <f>'Compare w prev'!AP9</f>
        <v>79.512195121951223</v>
      </c>
      <c r="M9" s="11">
        <f>'Compare w prev'!AQ9</f>
        <v>80.487804878048792</v>
      </c>
      <c r="N9" s="11">
        <f>'Compare w prev'!AR9</f>
        <v>76.585365853658544</v>
      </c>
      <c r="O9" s="11">
        <f>'Compare w prev'!AS9</f>
        <v>78.536585365853668</v>
      </c>
      <c r="P9" s="11">
        <f>'Compare w prev'!R9</f>
        <v>78</v>
      </c>
      <c r="Q9" s="11">
        <f>'Compare w prev'!S9</f>
        <v>74.487804878048777</v>
      </c>
      <c r="R9" s="11">
        <f>'Compare w prev'!T9</f>
        <v>83.902439024390247</v>
      </c>
      <c r="S9" s="11">
        <f>'Compare w prev'!U9</f>
        <v>77.219512195121951</v>
      </c>
      <c r="T9" s="11">
        <f>'Compare w prev'!V9</f>
        <v>77.121951219512198</v>
      </c>
      <c r="U9" s="11">
        <f>'Compare w prev'!W9</f>
        <v>78.048780487804876</v>
      </c>
      <c r="V9" s="11">
        <f>'Compare w prev'!X9</f>
        <v>77.560975609756099</v>
      </c>
      <c r="W9" s="11"/>
      <c r="X9" s="11">
        <f>'Compare w prev'!Z9</f>
        <v>79.512195121951223</v>
      </c>
      <c r="Y9" s="11">
        <f>'Compare w prev'!AA9</f>
        <v>79.121951219512184</v>
      </c>
      <c r="Z9" s="11">
        <f>'Compare w prev'!AB9</f>
        <v>80.487804878048792</v>
      </c>
      <c r="AA9" s="11">
        <f>'Compare w prev'!AK9</f>
        <v>77.219512195121951</v>
      </c>
      <c r="AB9" s="11">
        <f>'Compare w prev'!AL9</f>
        <v>36.585365853658537</v>
      </c>
      <c r="AC9" s="11">
        <f>'Compare w prev'!AM9</f>
        <v>79.024390243902445</v>
      </c>
      <c r="AD9" s="30">
        <f>'Compare w prev'!L9</f>
        <v>75.121951219512198</v>
      </c>
      <c r="AE9" s="30">
        <f>'Compare w prev'!M9</f>
        <v>76.585365853658544</v>
      </c>
      <c r="AF9" s="30">
        <f>'Compare w prev'!N9</f>
        <v>75.121951219512198</v>
      </c>
      <c r="AG9" s="30">
        <f>'Compare w prev'!O9</f>
        <v>77.560975609756099</v>
      </c>
      <c r="AH9" s="30">
        <f>'Compare w prev'!P9</f>
        <v>77.121951219512198</v>
      </c>
      <c r="AI9" s="30">
        <f>'Compare w prev'!Q9</f>
        <v>79.024390243902445</v>
      </c>
      <c r="AJ9" s="11">
        <f>'Compare w prev'!AC9</f>
        <v>73.707317073170728</v>
      </c>
      <c r="AK9" s="11">
        <f>'Compare w prev'!AD9</f>
        <v>78.048780487804876</v>
      </c>
      <c r="AL9" s="11">
        <f>'Compare w prev'!AE9</f>
        <v>71.219512195121951</v>
      </c>
      <c r="AM9" s="11">
        <f>'Compare w prev'!AF9</f>
        <v>78.536585365853668</v>
      </c>
      <c r="AN9" s="11">
        <f>'Compare w prev'!AG9</f>
        <v>77.609756097560975</v>
      </c>
      <c r="AO9" s="11">
        <f>'Compare w prev'!AH9</f>
        <v>79.024390243902445</v>
      </c>
      <c r="AP9" s="11">
        <f>'Compare w prev'!AI9</f>
        <v>76.585365853658544</v>
      </c>
      <c r="AQ9" s="11">
        <f>'Compare w prev'!AJ9</f>
        <v>73.658536585365852</v>
      </c>
      <c r="AR9" s="11">
        <f>'Compare w prev'!AN9</f>
        <v>75.609756097560975</v>
      </c>
      <c r="AS9" s="11">
        <f>'Compare w prev'!AO9</f>
        <v>78.048780487804876</v>
      </c>
      <c r="AT9" s="31"/>
    </row>
    <row r="10" spans="1:46">
      <c r="A10" s="29" t="s">
        <v>37</v>
      </c>
      <c r="B10" s="11">
        <f>'Compare w prev'!B10</f>
        <v>94.891891891891902</v>
      </c>
      <c r="C10" s="11">
        <f>'Compare w prev'!C10</f>
        <v>95.945945945945937</v>
      </c>
      <c r="D10" s="11">
        <f>'Compare w prev'!D10</f>
        <v>96.189189189189179</v>
      </c>
      <c r="E10" s="11">
        <f>'Compare w prev'!E10</f>
        <v>83.78378378378379</v>
      </c>
      <c r="F10" s="11"/>
      <c r="G10" s="11">
        <f>'Compare w prev'!G10</f>
        <v>98.378378378378386</v>
      </c>
      <c r="H10" s="11">
        <f>'Compare w prev'!H10</f>
        <v>97.810810810810807</v>
      </c>
      <c r="I10" s="11">
        <f>'Compare w prev'!I10</f>
        <v>97.837837837837839</v>
      </c>
      <c r="J10" s="11">
        <f>'Compare w prev'!J10</f>
        <v>97.810810810810807</v>
      </c>
      <c r="K10" s="11">
        <f>'Compare w prev'!K10</f>
        <v>98.378378378378386</v>
      </c>
      <c r="L10" s="11">
        <f>'Compare w prev'!AP10</f>
        <v>99.189189189189193</v>
      </c>
      <c r="M10" s="11">
        <f>'Compare w prev'!AQ10</f>
        <v>99.729729729729726</v>
      </c>
      <c r="N10" s="11">
        <f>'Compare w prev'!AR10</f>
        <v>97</v>
      </c>
      <c r="O10" s="11">
        <f>'Compare w prev'!AS10</f>
        <v>98.378378378378386</v>
      </c>
      <c r="P10" s="11">
        <f>'Compare w prev'!R10</f>
        <v>98.405405405405418</v>
      </c>
      <c r="Q10" s="11">
        <f>'Compare w prev'!S10</f>
        <v>97.837837837837839</v>
      </c>
      <c r="R10" s="11">
        <f>'Compare w prev'!T10</f>
        <v>98.648648648648646</v>
      </c>
      <c r="S10" s="11">
        <f>'Compare w prev'!U10</f>
        <v>98.810810810810807</v>
      </c>
      <c r="T10" s="11">
        <f>'Compare w prev'!V10</f>
        <v>98.108108108108098</v>
      </c>
      <c r="U10" s="11">
        <f>'Compare w prev'!W10</f>
        <v>98.648648648648646</v>
      </c>
      <c r="V10" s="11">
        <f>'Compare w prev'!X10</f>
        <v>99.189189189189193</v>
      </c>
      <c r="W10" s="11"/>
      <c r="X10" s="11">
        <f>'Compare w prev'!Z10</f>
        <v>98.918918918918919</v>
      </c>
      <c r="Y10" s="11">
        <f>'Compare w prev'!AA10</f>
        <v>97.891891891891888</v>
      </c>
      <c r="Z10" s="11">
        <f>'Compare w prev'!AB10</f>
        <v>99.189189189189193</v>
      </c>
      <c r="AA10" s="11">
        <f>'Compare w prev'!AK10</f>
        <v>98.594594594594597</v>
      </c>
      <c r="AB10" s="11">
        <f>'Compare w prev'!AL10</f>
        <v>98.108108108108098</v>
      </c>
      <c r="AC10" s="11">
        <f>'Compare w prev'!AM10</f>
        <v>98.108108108108098</v>
      </c>
      <c r="AD10" s="30">
        <f>'Compare w prev'!L10</f>
        <v>97.837837837837839</v>
      </c>
      <c r="AE10" s="30">
        <f>'Compare w prev'!M10</f>
        <v>96.486486486486484</v>
      </c>
      <c r="AF10" s="30">
        <f>'Compare w prev'!N10</f>
        <v>96.189189189189179</v>
      </c>
      <c r="AG10" s="30">
        <f>'Compare w prev'!O10</f>
        <v>96.756756756756758</v>
      </c>
      <c r="AH10" s="30">
        <f>'Compare w prev'!P10</f>
        <v>94.297297297297291</v>
      </c>
      <c r="AI10" s="30">
        <f>'Compare w prev'!Q10</f>
        <v>95.945945945945937</v>
      </c>
      <c r="AJ10" s="11">
        <f>'Compare w prev'!AC10</f>
        <v>98.405405405405418</v>
      </c>
      <c r="AK10" s="11">
        <f>'Compare w prev'!AD10</f>
        <v>97.567567567567565</v>
      </c>
      <c r="AL10" s="11">
        <f>'Compare w prev'!AE10</f>
        <v>95.891891891891888</v>
      </c>
      <c r="AM10" s="11">
        <f>'Compare w prev'!AF10</f>
        <v>98.378378378378386</v>
      </c>
      <c r="AN10" s="11">
        <f>'Compare w prev'!AG10</f>
        <v>99.108108108108112</v>
      </c>
      <c r="AO10" s="11">
        <f>'Compare w prev'!AH10</f>
        <v>98.378378378378386</v>
      </c>
      <c r="AP10" s="11">
        <f>'Compare w prev'!AI10</f>
        <v>98.648648648648646</v>
      </c>
      <c r="AQ10" s="11">
        <f>'Compare w prev'!AJ10</f>
        <v>97.027027027027017</v>
      </c>
      <c r="AR10" s="11">
        <f>'Compare w prev'!AN10</f>
        <v>96.594594594594582</v>
      </c>
      <c r="AS10" s="11">
        <f>'Compare w prev'!AO10</f>
        <v>98.108108108108098</v>
      </c>
      <c r="AT10" s="31"/>
    </row>
    <row r="11" spans="1:46">
      <c r="A11" s="29" t="s">
        <v>38</v>
      </c>
      <c r="B11" s="11">
        <f>'Compare w prev'!B11</f>
        <v>71.098265895953759</v>
      </c>
      <c r="C11" s="11">
        <f>'Compare w prev'!C11</f>
        <v>71.098265895953759</v>
      </c>
      <c r="D11" s="11">
        <f>'Compare w prev'!D11</f>
        <v>75.086705202312146</v>
      </c>
      <c r="E11" s="11">
        <f>'Compare w prev'!E11</f>
        <v>84.393063583815035</v>
      </c>
      <c r="F11" s="11">
        <f>'Compare w prev'!F11</f>
        <v>99.826589595375708</v>
      </c>
      <c r="G11" s="11">
        <f>'Compare w prev'!G11</f>
        <v>97.687861271676297</v>
      </c>
      <c r="H11" s="11">
        <f>'Compare w prev'!H11</f>
        <v>80.289017341040463</v>
      </c>
      <c r="I11" s="11">
        <f>'Compare w prev'!I11</f>
        <v>98.265895953757223</v>
      </c>
      <c r="J11" s="11">
        <f>'Compare w prev'!J11</f>
        <v>77.51445086705202</v>
      </c>
      <c r="K11" s="11">
        <f>'Compare w prev'!K11</f>
        <v>82.658959537572258</v>
      </c>
      <c r="L11" s="11">
        <f>'Compare w prev'!AP11</f>
        <v>88.439306358381501</v>
      </c>
      <c r="M11" s="11">
        <f>'Compare w prev'!AQ11</f>
        <v>86.127167630057798</v>
      </c>
      <c r="N11" s="11">
        <f>'Compare w prev'!AR11</f>
        <v>90.173410404624278</v>
      </c>
      <c r="O11" s="11">
        <f>'Compare w prev'!AS11</f>
        <v>90.173410404624278</v>
      </c>
      <c r="P11" s="11">
        <f>'Compare w prev'!R11</f>
        <v>89.595375722543352</v>
      </c>
      <c r="Q11" s="11">
        <f>'Compare w prev'!S11</f>
        <v>88.150289017341038</v>
      </c>
      <c r="R11" s="11">
        <f>'Compare w prev'!T11</f>
        <v>87.861271676300575</v>
      </c>
      <c r="S11" s="11">
        <f>'Compare w prev'!U11</f>
        <v>89.075144508670519</v>
      </c>
      <c r="T11" s="11">
        <f>'Compare w prev'!V11</f>
        <v>83.179190751445091</v>
      </c>
      <c r="U11" s="11">
        <f>'Compare w prev'!W11</f>
        <v>86.705202312138724</v>
      </c>
      <c r="V11" s="11">
        <f>'Compare w prev'!X11</f>
        <v>83.815028901734095</v>
      </c>
      <c r="W11" s="11"/>
      <c r="X11" s="11">
        <f>'Compare w prev'!Z11</f>
        <v>89.017341040462426</v>
      </c>
      <c r="Y11" s="11">
        <f>'Compare w prev'!AA11</f>
        <v>90.982658959537574</v>
      </c>
      <c r="Z11" s="11">
        <f>'Compare w prev'!AB11</f>
        <v>89.017341040462426</v>
      </c>
      <c r="AA11" s="11">
        <f>'Compare w prev'!AK11</f>
        <v>87.919075144508668</v>
      </c>
      <c r="AB11" s="11">
        <f>'Compare w prev'!AL11</f>
        <v>87.283236994219649</v>
      </c>
      <c r="AC11" s="11">
        <f>'Compare w prev'!AM11</f>
        <v>88.439306358381501</v>
      </c>
      <c r="AD11" s="30">
        <f>'Compare w prev'!L11</f>
        <v>82.080924855491332</v>
      </c>
      <c r="AE11" s="30">
        <f>'Compare w prev'!M11</f>
        <v>82.658959537572258</v>
      </c>
      <c r="AF11" s="30">
        <f>'Compare w prev'!N11</f>
        <v>88.381502890173408</v>
      </c>
      <c r="AG11" s="30">
        <f>'Compare w prev'!O11</f>
        <v>87.861271676300575</v>
      </c>
      <c r="AH11" s="30">
        <f>'Compare w prev'!P11</f>
        <v>80.924855491329481</v>
      </c>
      <c r="AI11" s="30">
        <f>'Compare w prev'!Q11</f>
        <v>82.080924855491332</v>
      </c>
      <c r="AJ11" s="11">
        <f>'Compare w prev'!AC11</f>
        <v>80.924855491329481</v>
      </c>
      <c r="AK11" s="11">
        <f>'Compare w prev'!AD11</f>
        <v>89.017341040462426</v>
      </c>
      <c r="AL11" s="11">
        <f>'Compare w prev'!AE11</f>
        <v>86.011560693641627</v>
      </c>
      <c r="AM11" s="11">
        <f>'Compare w prev'!AF11</f>
        <v>87.861271676300575</v>
      </c>
      <c r="AN11" s="11">
        <f>'Compare w prev'!AG11</f>
        <v>85.895953757225428</v>
      </c>
      <c r="AO11" s="11">
        <f>'Compare w prev'!AH11</f>
        <v>89.595375722543352</v>
      </c>
      <c r="AP11" s="11">
        <f>'Compare w prev'!AI11</f>
        <v>89.306358381502889</v>
      </c>
      <c r="AQ11" s="11">
        <f>'Compare w prev'!AJ11</f>
        <v>89.017341040462426</v>
      </c>
      <c r="AR11" s="11">
        <f>'Compare w prev'!AN11</f>
        <v>87.919075144508668</v>
      </c>
      <c r="AS11" s="11">
        <f>'Compare w prev'!AO11</f>
        <v>91.329479768786129</v>
      </c>
      <c r="AT11" s="31"/>
    </row>
    <row r="12" spans="1:46">
      <c r="A12" s="29" t="s">
        <v>39</v>
      </c>
      <c r="B12" s="11">
        <f>'Compare w prev'!B12</f>
        <v>77.713310580204777</v>
      </c>
      <c r="C12" s="11">
        <f>'Compare w prev'!C12</f>
        <v>77.474402730375431</v>
      </c>
      <c r="D12" s="11">
        <f>'Compare w prev'!D12</f>
        <v>90.784982935153579</v>
      </c>
      <c r="E12" s="11">
        <f>'Compare w prev'!E12</f>
        <v>85.665529010238899</v>
      </c>
      <c r="F12" s="11">
        <f>'Compare w prev'!F12</f>
        <v>87.883959044368595</v>
      </c>
      <c r="G12" s="11">
        <f>'Compare w prev'!G12</f>
        <v>89.078498293515366</v>
      </c>
      <c r="H12" s="11">
        <f>'Compare w prev'!H12</f>
        <v>86.689419795221852</v>
      </c>
      <c r="I12" s="11">
        <f>'Compare w prev'!I12</f>
        <v>86.689419795221852</v>
      </c>
      <c r="J12" s="11">
        <f>'Compare w prev'!J12</f>
        <v>95.187713310580207</v>
      </c>
      <c r="K12" s="11">
        <f>'Compare w prev'!K12</f>
        <v>94.88054607508532</v>
      </c>
      <c r="L12" s="11">
        <f>'Compare w prev'!AP12</f>
        <v>92.491467576791806</v>
      </c>
      <c r="M12" s="11">
        <f>'Compare w prev'!AQ12</f>
        <v>90.443686006825942</v>
      </c>
      <c r="N12" s="11">
        <f>'Compare w prev'!AR12</f>
        <v>92.491467576791806</v>
      </c>
      <c r="O12" s="11">
        <f>'Compare w prev'!AS12</f>
        <v>92.832764505119457</v>
      </c>
      <c r="P12" s="11">
        <f>'Compare w prev'!R12</f>
        <v>91.808873720136518</v>
      </c>
      <c r="Q12" s="11">
        <f>'Compare w prev'!S12</f>
        <v>77.440273037542667</v>
      </c>
      <c r="R12" s="11">
        <f>'Compare w prev'!T12</f>
        <v>92.150170648464169</v>
      </c>
      <c r="S12" s="11">
        <f>'Compare w prev'!U12</f>
        <v>93.412969283276453</v>
      </c>
      <c r="T12" s="11">
        <f>'Compare w prev'!V12</f>
        <v>92.798634812286679</v>
      </c>
      <c r="U12" s="11">
        <f>'Compare w prev'!W12</f>
        <v>93.515358361774744</v>
      </c>
      <c r="V12" s="11">
        <f>'Compare w prev'!X12</f>
        <v>91.808873720136518</v>
      </c>
      <c r="W12" s="11"/>
      <c r="X12" s="11">
        <f>'Compare w prev'!Z12</f>
        <v>89.761092150170654</v>
      </c>
      <c r="Y12" s="11">
        <f>'Compare w prev'!AA12</f>
        <v>93.105802047781566</v>
      </c>
      <c r="Z12" s="11">
        <f>'Compare w prev'!AB12</f>
        <v>92.150170648464169</v>
      </c>
      <c r="AA12" s="11">
        <f>'Compare w prev'!AK12</f>
        <v>93.208191126279871</v>
      </c>
      <c r="AB12" s="11">
        <f>'Compare w prev'!AL12</f>
        <v>91.467576791808867</v>
      </c>
      <c r="AC12" s="11">
        <f>'Compare w prev'!AM12</f>
        <v>93.174061433447093</v>
      </c>
      <c r="AD12" s="30">
        <f>'Compare w prev'!L12</f>
        <v>88.395904436860079</v>
      </c>
      <c r="AE12" s="30">
        <f>'Compare w prev'!M12</f>
        <v>92.832764505119457</v>
      </c>
      <c r="AF12" s="30">
        <f>'Compare w prev'!N12</f>
        <v>89.795221843003432</v>
      </c>
      <c r="AG12" s="30">
        <f>'Compare w prev'!O12</f>
        <v>92.832764505119457</v>
      </c>
      <c r="AH12" s="30">
        <f>'Compare w prev'!P12</f>
        <v>91.706484641638212</v>
      </c>
      <c r="AI12" s="30">
        <f>'Compare w prev'!Q12</f>
        <v>78.839590443686006</v>
      </c>
      <c r="AJ12" s="11">
        <f>'Compare w prev'!AC12</f>
        <v>88.703071672354938</v>
      </c>
      <c r="AK12" s="11">
        <f>'Compare w prev'!AD12</f>
        <v>75.085324232081902</v>
      </c>
      <c r="AL12" s="11">
        <f>'Compare w prev'!AE12</f>
        <v>89.590443686006822</v>
      </c>
      <c r="AM12" s="11">
        <f>'Compare w prev'!AF12</f>
        <v>92.150170648464169</v>
      </c>
      <c r="AN12" s="11">
        <f>'Compare w prev'!AG12</f>
        <v>92.491467576791806</v>
      </c>
      <c r="AO12" s="11">
        <f>'Compare w prev'!AH12</f>
        <v>93.856655290102381</v>
      </c>
      <c r="AP12" s="11">
        <f>'Compare w prev'!AI12</f>
        <v>90.716723549488052</v>
      </c>
      <c r="AQ12" s="11">
        <f>'Compare w prev'!AJ12</f>
        <v>89.078498293515366</v>
      </c>
      <c r="AR12" s="11">
        <f>'Compare w prev'!AN12</f>
        <v>90.204778156996596</v>
      </c>
      <c r="AS12" s="11">
        <f>'Compare w prev'!AO12</f>
        <v>93.856655290102381</v>
      </c>
      <c r="AT12" s="31"/>
    </row>
    <row r="13" spans="1:46">
      <c r="A13" s="29" t="s">
        <v>40</v>
      </c>
      <c r="B13" s="11">
        <f>'Compare w prev'!B13</f>
        <v>53.888888888888886</v>
      </c>
      <c r="C13" s="11">
        <f>'Compare w prev'!C13</f>
        <v>53.888888888888886</v>
      </c>
      <c r="D13" s="11">
        <f>'Compare w prev'!D13</f>
        <v>54.444444444444443</v>
      </c>
      <c r="E13" s="11">
        <f>'Compare w prev'!E13</f>
        <v>55.555555555555557</v>
      </c>
      <c r="F13" s="11">
        <f>'Compare w prev'!F13</f>
        <v>50.44444444444445</v>
      </c>
      <c r="G13" s="11">
        <f>'Compare w prev'!G13</f>
        <v>54.444444444444443</v>
      </c>
      <c r="H13" s="11">
        <f>'Compare w prev'!H13</f>
        <v>58.888888888888893</v>
      </c>
      <c r="I13" s="11">
        <f>'Compare w prev'!I13</f>
        <v>58.888888888888893</v>
      </c>
      <c r="J13" s="11">
        <f>'Compare w prev'!J13</f>
        <v>56.722222222222221</v>
      </c>
      <c r="K13" s="11">
        <f>'Compare w prev'!K13</f>
        <v>55.000000000000007</v>
      </c>
      <c r="L13" s="11">
        <f>'Compare w prev'!AP13</f>
        <v>57.777777777777771</v>
      </c>
      <c r="M13" s="11">
        <f>'Compare w prev'!AQ13</f>
        <v>58.333333333333336</v>
      </c>
      <c r="N13" s="11">
        <f>'Compare w prev'!AR13</f>
        <v>66.722222222222214</v>
      </c>
      <c r="O13" s="11">
        <f>'Compare w prev'!AS13</f>
        <v>62.222222222222221</v>
      </c>
      <c r="P13" s="11">
        <f>'Compare w prev'!R13</f>
        <v>57.222222222222221</v>
      </c>
      <c r="Q13" s="11">
        <f>'Compare w prev'!S13</f>
        <v>52.833333333333329</v>
      </c>
      <c r="R13" s="11">
        <f>'Compare w prev'!T13</f>
        <v>60</v>
      </c>
      <c r="S13" s="11">
        <f>'Compare w prev'!U13</f>
        <v>60.277777777777771</v>
      </c>
      <c r="T13" s="11">
        <f>'Compare w prev'!V13</f>
        <v>61.722222222222221</v>
      </c>
      <c r="U13" s="11">
        <f>'Compare w prev'!W13</f>
        <v>60</v>
      </c>
      <c r="V13" s="11">
        <f>'Compare w prev'!X13</f>
        <v>61.666666666666671</v>
      </c>
      <c r="W13" s="11"/>
      <c r="X13" s="11">
        <f>'Compare w prev'!Z13</f>
        <v>63.888888888888886</v>
      </c>
      <c r="Y13" s="11">
        <f>'Compare w prev'!AA13</f>
        <v>65.611111111111114</v>
      </c>
      <c r="Z13" s="11">
        <f>'Compare w prev'!AB13</f>
        <v>60.55555555555555</v>
      </c>
      <c r="AA13" s="11">
        <f>'Compare w prev'!AK13</f>
        <v>59.388888888888893</v>
      </c>
      <c r="AB13" s="11">
        <f>'Compare w prev'!AL13</f>
        <v>51.666666666666671</v>
      </c>
      <c r="AC13" s="11">
        <f>'Compare w prev'!AM13</f>
        <v>60.55555555555555</v>
      </c>
      <c r="AD13" s="30">
        <f>'Compare w prev'!L13</f>
        <v>51.666666666666671</v>
      </c>
      <c r="AE13" s="30">
        <f>'Compare w prev'!M13</f>
        <v>57.222222222222221</v>
      </c>
      <c r="AF13" s="30">
        <f>'Compare w prev'!N13</f>
        <v>51.111111111111107</v>
      </c>
      <c r="AG13" s="30">
        <f>'Compare w prev'!O13</f>
        <v>59.444444444444443</v>
      </c>
      <c r="AH13" s="30">
        <f>'Compare w prev'!P13</f>
        <v>55.000000000000007</v>
      </c>
      <c r="AI13" s="30">
        <f>'Compare w prev'!Q13</f>
        <v>58.333333333333336</v>
      </c>
      <c r="AJ13" s="11">
        <f>'Compare w prev'!AC13</f>
        <v>54.388888888888886</v>
      </c>
      <c r="AK13" s="11">
        <f>'Compare w prev'!AD13</f>
        <v>59.444444444444443</v>
      </c>
      <c r="AL13" s="11">
        <f>'Compare w prev'!AE13</f>
        <v>55.000000000000007</v>
      </c>
      <c r="AM13" s="11">
        <f>'Compare w prev'!AF13</f>
        <v>60</v>
      </c>
      <c r="AN13" s="11">
        <f>'Compare w prev'!AG13</f>
        <v>58.277777777777786</v>
      </c>
      <c r="AO13" s="11">
        <f>'Compare w prev'!AH13</f>
        <v>61.666666666666671</v>
      </c>
      <c r="AP13" s="11">
        <f>'Compare w prev'!AI13</f>
        <v>57.777777777777771</v>
      </c>
      <c r="AQ13" s="11">
        <f>'Compare w prev'!AJ13</f>
        <v>61.666666666666671</v>
      </c>
      <c r="AR13" s="11">
        <f>'Compare w prev'!AN13</f>
        <v>54.388888888888886</v>
      </c>
      <c r="AS13" s="11">
        <f>'Compare w prev'!AO13</f>
        <v>58.888888888888893</v>
      </c>
      <c r="AT13" s="31"/>
    </row>
    <row r="14" spans="1:46">
      <c r="A14" s="29" t="s">
        <v>41</v>
      </c>
      <c r="B14" s="11">
        <f>'Compare w prev'!B14</f>
        <v>96.298317417007723</v>
      </c>
      <c r="C14" s="11">
        <f>'Compare w prev'!C14</f>
        <v>97.226011823556163</v>
      </c>
      <c r="D14" s="11">
        <f>'Compare w prev'!D14</f>
        <v>99.199636198271946</v>
      </c>
      <c r="E14" s="11">
        <f>'Compare w prev'!E14</f>
        <v>99.226921327876312</v>
      </c>
      <c r="F14" s="11"/>
      <c r="G14" s="11">
        <f>'Compare w prev'!G14</f>
        <v>99.13597089586176</v>
      </c>
      <c r="H14" s="11">
        <f>'Compare w prev'!H14</f>
        <v>98.899499772623926</v>
      </c>
      <c r="I14" s="11">
        <f>'Compare w prev'!I14</f>
        <v>99.13597089586176</v>
      </c>
      <c r="J14" s="11">
        <f>'Compare w prev'!J14</f>
        <v>99.299681673487953</v>
      </c>
      <c r="K14" s="11">
        <f>'Compare w prev'!K14</f>
        <v>99.045020463847194</v>
      </c>
      <c r="L14" s="11">
        <f>'Compare w prev'!AP14</f>
        <v>99.818099135970897</v>
      </c>
      <c r="M14" s="11">
        <f>'Compare w prev'!AQ14</f>
        <v>99.863574351978173</v>
      </c>
      <c r="N14" s="11">
        <f>'Compare w prev'!AR14</f>
        <v>98.999545247839933</v>
      </c>
      <c r="O14" s="11">
        <f>'Compare w prev'!AS14</f>
        <v>95.8162801273306</v>
      </c>
      <c r="P14" s="11">
        <f>'Compare w prev'!R14</f>
        <v>98.999545247839933</v>
      </c>
      <c r="Q14" s="11">
        <f>'Compare w prev'!S14</f>
        <v>98.35834470213733</v>
      </c>
      <c r="R14" s="11">
        <f>'Compare w prev'!T14</f>
        <v>99.545247839927242</v>
      </c>
      <c r="S14" s="11">
        <f>'Compare w prev'!U14</f>
        <v>98.699408822191913</v>
      </c>
      <c r="T14" s="11">
        <f>'Compare w prev'!V14</f>
        <v>98.099135970895858</v>
      </c>
      <c r="U14" s="11">
        <f>'Compare w prev'!W14</f>
        <v>99.499772623919966</v>
      </c>
      <c r="V14" s="11">
        <f>'Compare w prev'!X14</f>
        <v>99.909049567985448</v>
      </c>
      <c r="W14" s="11"/>
      <c r="X14" s="11">
        <f>'Compare w prev'!Z14</f>
        <v>98.044565711687127</v>
      </c>
      <c r="Y14" s="11">
        <f>'Compare w prev'!AA14</f>
        <v>99.799909049567987</v>
      </c>
      <c r="Z14" s="11">
        <f>'Compare w prev'!AB14</f>
        <v>99.545247839927242</v>
      </c>
      <c r="AA14" s="11">
        <f>'Compare w prev'!AK14</f>
        <v>99.199636198271946</v>
      </c>
      <c r="AB14" s="11">
        <f>'Compare w prev'!AL14</f>
        <v>99.363346975898139</v>
      </c>
      <c r="AC14" s="11">
        <f>'Compare w prev'!AM14</f>
        <v>99.590723055934518</v>
      </c>
      <c r="AD14" s="30">
        <f>'Compare w prev'!L14</f>
        <v>96.680309231468854</v>
      </c>
      <c r="AE14" s="30">
        <f>'Compare w prev'!M14</f>
        <v>96.953160527512509</v>
      </c>
      <c r="AF14" s="30">
        <f>'Compare w prev'!N14</f>
        <v>100</v>
      </c>
      <c r="AG14" s="30">
        <f>'Compare w prev'!O14</f>
        <v>98.226466575716231</v>
      </c>
      <c r="AH14" s="30">
        <f>'Compare w prev'!P14</f>
        <v>97.398817644383811</v>
      </c>
      <c r="AI14" s="30">
        <f>'Compare w prev'!Q14</f>
        <v>99.454297407912691</v>
      </c>
      <c r="AJ14" s="11">
        <f>'Compare w prev'!AC14</f>
        <v>100</v>
      </c>
      <c r="AK14" s="11">
        <f>'Compare w prev'!AD14</f>
        <v>99.454297407912691</v>
      </c>
      <c r="AL14" s="11">
        <f>'Compare w prev'!AE14</f>
        <v>100</v>
      </c>
      <c r="AM14" s="11">
        <f>'Compare w prev'!AF14</f>
        <v>98.999545247839933</v>
      </c>
      <c r="AN14" s="11">
        <f>'Compare w prev'!AG14</f>
        <v>97.899045020463859</v>
      </c>
      <c r="AO14" s="11">
        <f>'Compare w prev'!AH14</f>
        <v>98.863119599818091</v>
      </c>
      <c r="AP14" s="11">
        <f>'Compare w prev'!AI14</f>
        <v>99.68167348794907</v>
      </c>
      <c r="AQ14" s="11">
        <f>'Compare w prev'!AJ14</f>
        <v>98.817644383810816</v>
      </c>
      <c r="AR14" s="11">
        <f>'Compare w prev'!AN14</f>
        <v>95.998180991359703</v>
      </c>
      <c r="AS14" s="11">
        <f>'Compare w prev'!AO14</f>
        <v>99.317871759890863</v>
      </c>
      <c r="AT14" s="31"/>
    </row>
    <row r="15" spans="1:46">
      <c r="A15" s="29" t="s">
        <v>42</v>
      </c>
      <c r="B15" s="11">
        <f>'Compare w prev'!B15</f>
        <v>90.3125</v>
      </c>
      <c r="C15" s="11">
        <f>'Compare w prev'!C15</f>
        <v>90.3125</v>
      </c>
      <c r="D15" s="11">
        <f>'Compare w prev'!D15</f>
        <v>94.40625</v>
      </c>
      <c r="E15" s="11">
        <f>'Compare w prev'!E15</f>
        <v>94.0625</v>
      </c>
      <c r="F15" s="11">
        <f>'Compare w prev'!F15</f>
        <v>94.875000000000014</v>
      </c>
      <c r="G15" s="11">
        <f>'Compare w prev'!G15</f>
        <v>94.0625</v>
      </c>
      <c r="H15" s="11">
        <f>'Compare w prev'!H15</f>
        <v>90.906249999999986</v>
      </c>
      <c r="I15" s="11">
        <f>'Compare w prev'!I15</f>
        <v>94.375</v>
      </c>
      <c r="J15" s="11">
        <f>'Compare w prev'!J15</f>
        <v>94.093750000000014</v>
      </c>
      <c r="K15" s="11">
        <f>'Compare w prev'!K15</f>
        <v>94.0625</v>
      </c>
      <c r="L15" s="11">
        <f>'Compare w prev'!AP15</f>
        <v>91.875</v>
      </c>
      <c r="M15" s="11">
        <f>'Compare w prev'!AQ15</f>
        <v>88.4375</v>
      </c>
      <c r="N15" s="11">
        <f>'Compare w prev'!AR15</f>
        <v>93.8125</v>
      </c>
      <c r="O15" s="11">
        <f>'Compare w prev'!AS15</f>
        <v>95.3125</v>
      </c>
      <c r="P15" s="11">
        <f>'Compare w prev'!R15</f>
        <v>85.3125</v>
      </c>
      <c r="Q15" s="11">
        <f>'Compare w prev'!S15</f>
        <v>83.125</v>
      </c>
      <c r="R15" s="11">
        <f>'Compare w prev'!T15</f>
        <v>88.4375</v>
      </c>
      <c r="S15" s="11">
        <f>'Compare w prev'!U15</f>
        <v>86.6875</v>
      </c>
      <c r="T15" s="11">
        <f>'Compare w prev'!V15</f>
        <v>85.90625</v>
      </c>
      <c r="U15" s="11">
        <f>'Compare w prev'!W15</f>
        <v>88.4375</v>
      </c>
      <c r="V15" s="11">
        <f>'Compare w prev'!X15</f>
        <v>91.25</v>
      </c>
      <c r="W15" s="11"/>
      <c r="X15" s="11">
        <f>'Compare w prev'!Z15</f>
        <v>94.375</v>
      </c>
      <c r="Y15" s="11">
        <f>'Compare w prev'!AA15</f>
        <v>88.1875</v>
      </c>
      <c r="Z15" s="11">
        <f>'Compare w prev'!AB15</f>
        <v>90.625</v>
      </c>
      <c r="AA15" s="11">
        <f>'Compare w prev'!AK15</f>
        <v>88.09375</v>
      </c>
      <c r="AB15" s="11">
        <f>'Compare w prev'!AL15</f>
        <v>84.375</v>
      </c>
      <c r="AC15" s="11">
        <f>'Compare w prev'!AM15</f>
        <v>89.0625</v>
      </c>
      <c r="AD15" s="30">
        <f>'Compare w prev'!L15</f>
        <v>82.09375</v>
      </c>
      <c r="AE15" s="30">
        <f>'Compare w prev'!M15</f>
        <v>82.8125</v>
      </c>
      <c r="AF15" s="30">
        <f>'Compare w prev'!N15</f>
        <v>80.3125</v>
      </c>
      <c r="AG15" s="30">
        <f>'Compare w prev'!O15</f>
        <v>89.0625</v>
      </c>
      <c r="AH15" s="30">
        <f>'Compare w prev'!P15</f>
        <v>82.312499999999986</v>
      </c>
      <c r="AI15" s="30">
        <f>'Compare w prev'!Q15</f>
        <v>83.125</v>
      </c>
      <c r="AJ15" s="11">
        <f>'Compare w prev'!AC15</f>
        <v>85.3125</v>
      </c>
      <c r="AK15" s="11">
        <f>'Compare w prev'!AD15</f>
        <v>79.6875</v>
      </c>
      <c r="AL15" s="11">
        <f>'Compare w prev'!AE15</f>
        <v>85</v>
      </c>
      <c r="AM15" s="11">
        <f>'Compare w prev'!AF15</f>
        <v>89.6875</v>
      </c>
      <c r="AN15" s="11">
        <f>'Compare w prev'!AG15</f>
        <v>85.3125</v>
      </c>
      <c r="AO15" s="11">
        <f>'Compare w prev'!AH15</f>
        <v>88.4375</v>
      </c>
      <c r="AP15" s="11">
        <f>'Compare w prev'!AI15</f>
        <v>85.8125</v>
      </c>
      <c r="AQ15" s="11">
        <f>'Compare w prev'!AJ15</f>
        <v>89.375</v>
      </c>
      <c r="AR15" s="11">
        <f>'Compare w prev'!AN15</f>
        <v>85.90625</v>
      </c>
      <c r="AS15" s="11">
        <f>'Compare w prev'!AO15</f>
        <v>90</v>
      </c>
      <c r="AT15" s="31"/>
    </row>
    <row r="16" spans="1:46">
      <c r="A16" s="29" t="s">
        <v>3</v>
      </c>
      <c r="B16" s="11"/>
      <c r="C16" s="11">
        <f>'Compare w prev'!C16</f>
        <v>98.666666666666671</v>
      </c>
      <c r="D16" s="11">
        <f>'Compare w prev'!D16</f>
        <v>99.333333333333329</v>
      </c>
      <c r="E16" s="11">
        <f>'Compare w prev'!E16</f>
        <v>99.333333333333329</v>
      </c>
      <c r="F16" s="11">
        <f>'Compare w prev'!F16</f>
        <v>99.566666666666663</v>
      </c>
      <c r="G16" s="11">
        <f>'Compare w prev'!G16</f>
        <v>99.333333333333329</v>
      </c>
      <c r="H16" s="11">
        <f>'Compare w prev'!H16</f>
        <v>99</v>
      </c>
      <c r="I16" s="11">
        <f>'Compare w prev'!I16</f>
        <v>99.333333333333329</v>
      </c>
      <c r="J16" s="11">
        <f>'Compare w prev'!J16</f>
        <v>99.333333333333329</v>
      </c>
      <c r="K16" s="11">
        <f>'Compare w prev'!K16</f>
        <v>99.333333333333329</v>
      </c>
      <c r="L16" s="11">
        <f>'Compare w prev'!AP16</f>
        <v>99.666666666666671</v>
      </c>
      <c r="M16" s="11">
        <f>'Compare w prev'!AQ16</f>
        <v>99</v>
      </c>
      <c r="N16" s="11">
        <f>'Compare w prev'!AR16</f>
        <v>97</v>
      </c>
      <c r="O16" s="11">
        <f>'Compare w prev'!AS16</f>
        <v>99.333333333333329</v>
      </c>
      <c r="P16" s="11"/>
      <c r="Q16" s="11">
        <f>'Compare w prev'!S16</f>
        <v>96.166666666666671</v>
      </c>
      <c r="R16" s="11">
        <f>'Compare w prev'!T16</f>
        <v>98.666666666666671</v>
      </c>
      <c r="S16" s="11"/>
      <c r="T16" s="11"/>
      <c r="U16" s="11">
        <f>'Compare w prev'!W16</f>
        <v>98.666666666666671</v>
      </c>
      <c r="V16" s="11">
        <f>'Compare w prev'!X16</f>
        <v>99</v>
      </c>
      <c r="W16" s="11"/>
      <c r="X16" s="11">
        <f>'Compare w prev'!Z16</f>
        <v>99.333333333333329</v>
      </c>
      <c r="Y16" s="11"/>
      <c r="Z16" s="11">
        <f>'Compare w prev'!AB16</f>
        <v>99</v>
      </c>
      <c r="AA16" s="11"/>
      <c r="AB16" s="11">
        <f>'Compare w prev'!AL16</f>
        <v>93.333333333333329</v>
      </c>
      <c r="AC16" s="11">
        <f>'Compare w prev'!AM16</f>
        <v>98.666666666666671</v>
      </c>
      <c r="AD16" s="30">
        <f>'Compare w prev'!L16</f>
        <v>97.333333333333343</v>
      </c>
      <c r="AE16" s="30">
        <f>'Compare w prev'!M16</f>
        <v>97.666666666666671</v>
      </c>
      <c r="AF16" s="11"/>
      <c r="AG16" s="30">
        <f>'Compare w prev'!O16</f>
        <v>98.333333333333329</v>
      </c>
      <c r="AH16" s="11"/>
      <c r="AI16" s="30">
        <f>'Compare w prev'!Q16</f>
        <v>99</v>
      </c>
      <c r="AJ16" s="11"/>
      <c r="AK16" s="11">
        <f>'Compare w prev'!AD16</f>
        <v>92.333333333333329</v>
      </c>
      <c r="AL16" s="11"/>
      <c r="AM16" s="11">
        <f>'Compare w prev'!AF16</f>
        <v>98.666666666666671</v>
      </c>
      <c r="AN16" s="11">
        <f>'Compare w prev'!AG16</f>
        <v>98</v>
      </c>
      <c r="AO16" s="11">
        <f>'Compare w prev'!AH16</f>
        <v>98.666666666666671</v>
      </c>
      <c r="AP16" s="11">
        <f>'Compare w prev'!AI16</f>
        <v>97.666666666666671</v>
      </c>
      <c r="AQ16" s="11">
        <f>'Compare w prev'!AJ16</f>
        <v>98.666666666666671</v>
      </c>
      <c r="AR16" s="11"/>
      <c r="AS16" s="11">
        <f>'Compare w prev'!AO16</f>
        <v>99</v>
      </c>
      <c r="AT16" s="31"/>
    </row>
    <row r="17" spans="1:46">
      <c r="A17" s="29" t="s">
        <v>4</v>
      </c>
      <c r="B17" s="11"/>
      <c r="C17" s="11">
        <f>'Compare w prev'!C17</f>
        <v>20</v>
      </c>
      <c r="D17" s="11">
        <f>'Compare w prev'!D17</f>
        <v>20</v>
      </c>
      <c r="E17" s="11">
        <f>'Compare w prev'!E17</f>
        <v>6.666666666666667</v>
      </c>
      <c r="F17" s="11">
        <f>'Compare w prev'!F17</f>
        <v>28.000000000000004</v>
      </c>
      <c r="G17" s="11">
        <f>'Compare w prev'!G17</f>
        <v>20</v>
      </c>
      <c r="H17" s="11">
        <f>'Compare w prev'!H17</f>
        <v>13.333333333333334</v>
      </c>
      <c r="I17" s="11">
        <f>'Compare w prev'!I17</f>
        <v>26.666666666666668</v>
      </c>
      <c r="J17" s="11">
        <f>'Compare w prev'!J17</f>
        <v>6.666666666666667</v>
      </c>
      <c r="K17" s="11">
        <f>'Compare w prev'!K17</f>
        <v>6.666666666666667</v>
      </c>
      <c r="L17" s="11">
        <f>'Compare w prev'!AP17</f>
        <v>33.333333333333329</v>
      </c>
      <c r="M17" s="11">
        <f>'Compare w prev'!AQ17</f>
        <v>46.666666666666664</v>
      </c>
      <c r="N17" s="11">
        <f>'Compare w prev'!AR17</f>
        <v>67.333333333333329</v>
      </c>
      <c r="O17" s="11">
        <f>'Compare w prev'!AS17</f>
        <v>66.666666666666657</v>
      </c>
      <c r="P17" s="11"/>
      <c r="Q17" s="11">
        <f>'Compare w prev'!S17</f>
        <v>33.333333333333329</v>
      </c>
      <c r="R17" s="11">
        <f>'Compare w prev'!T17</f>
        <v>66.666666666666657</v>
      </c>
      <c r="S17" s="11"/>
      <c r="T17" s="11"/>
      <c r="U17" s="11">
        <f>'Compare w prev'!W17</f>
        <v>73.333333333333329</v>
      </c>
      <c r="V17" s="11">
        <f>'Compare w prev'!X17</f>
        <v>40</v>
      </c>
      <c r="W17" s="11"/>
      <c r="X17" s="11">
        <f>'Compare w prev'!Z17</f>
        <v>66.666666666666657</v>
      </c>
      <c r="Y17" s="11"/>
      <c r="Z17" s="11">
        <f>'Compare w prev'!AB17</f>
        <v>66.666666666666657</v>
      </c>
      <c r="AA17" s="11"/>
      <c r="AB17" s="11">
        <f>'Compare w prev'!AL17</f>
        <v>33.333333333333329</v>
      </c>
      <c r="AC17" s="11">
        <f>'Compare w prev'!AM17</f>
        <v>66.666666666666657</v>
      </c>
      <c r="AD17" s="30">
        <f>'Compare w prev'!L17</f>
        <v>46.666666666666664</v>
      </c>
      <c r="AE17" s="30">
        <f>'Compare w prev'!M17</f>
        <v>53.333333333333336</v>
      </c>
      <c r="AF17" s="11"/>
      <c r="AG17" s="30">
        <f>'Compare w prev'!O17</f>
        <v>73.333333333333329</v>
      </c>
      <c r="AH17" s="11"/>
      <c r="AI17" s="30">
        <f>'Compare w prev'!Q17</f>
        <v>60</v>
      </c>
      <c r="AJ17" s="11"/>
      <c r="AK17" s="11">
        <f>'Compare w prev'!AD17</f>
        <v>73.333333333333329</v>
      </c>
      <c r="AL17" s="11"/>
      <c r="AM17" s="11">
        <f>'Compare w prev'!AF17</f>
        <v>80</v>
      </c>
      <c r="AN17" s="11">
        <f>'Compare w prev'!AG17</f>
        <v>46.666666666666664</v>
      </c>
      <c r="AO17" s="11">
        <f>'Compare w prev'!AH17</f>
        <v>73.333333333333329</v>
      </c>
      <c r="AP17" s="11">
        <f>'Compare w prev'!AI17</f>
        <v>53.333333333333336</v>
      </c>
      <c r="AQ17" s="11">
        <f>'Compare w prev'!AJ17</f>
        <v>80</v>
      </c>
      <c r="AR17" s="11"/>
      <c r="AS17" s="11">
        <f>'Compare w prev'!AO17</f>
        <v>66.666666666666657</v>
      </c>
      <c r="AT17" s="31"/>
    </row>
    <row r="18" spans="1:46">
      <c r="A18" s="29" t="s">
        <v>5</v>
      </c>
      <c r="B18" s="11"/>
      <c r="C18" s="11">
        <f>'Compare w prev'!C18</f>
        <v>97.5</v>
      </c>
      <c r="D18" s="11">
        <f>'Compare w prev'!D18</f>
        <v>100</v>
      </c>
      <c r="E18" s="11">
        <f>'Compare w prev'!E18</f>
        <v>100</v>
      </c>
      <c r="F18" s="11">
        <f>'Compare w prev'!F18</f>
        <v>99</v>
      </c>
      <c r="G18" s="11">
        <f>'Compare w prev'!G18</f>
        <v>100</v>
      </c>
      <c r="H18" s="11">
        <f>'Compare w prev'!H18</f>
        <v>100</v>
      </c>
      <c r="I18" s="11">
        <f>'Compare w prev'!I18</f>
        <v>100</v>
      </c>
      <c r="J18" s="11">
        <f>'Compare w prev'!J18</f>
        <v>100</v>
      </c>
      <c r="K18" s="11">
        <f>'Compare w prev'!K18</f>
        <v>100</v>
      </c>
      <c r="L18" s="11">
        <f>'Compare w prev'!AP18</f>
        <v>100</v>
      </c>
      <c r="M18" s="11">
        <f>'Compare w prev'!AQ18</f>
        <v>100</v>
      </c>
      <c r="N18" s="11">
        <f>'Compare w prev'!AR18</f>
        <v>100</v>
      </c>
      <c r="O18" s="11">
        <f>'Compare w prev'!AS18</f>
        <v>100</v>
      </c>
      <c r="P18" s="11"/>
      <c r="Q18" s="11">
        <f>'Compare w prev'!S18</f>
        <v>100</v>
      </c>
      <c r="R18" s="11">
        <f>'Compare w prev'!T18</f>
        <v>100</v>
      </c>
      <c r="S18" s="11"/>
      <c r="T18" s="11"/>
      <c r="U18" s="11">
        <f>'Compare w prev'!W18</f>
        <v>100</v>
      </c>
      <c r="V18" s="11">
        <f>'Compare w prev'!X18</f>
        <v>100</v>
      </c>
      <c r="W18" s="11"/>
      <c r="X18" s="11">
        <f>'Compare w prev'!Z18</f>
        <v>100</v>
      </c>
      <c r="Y18" s="11"/>
      <c r="Z18" s="11">
        <f>'Compare w prev'!AB18</f>
        <v>100</v>
      </c>
      <c r="AA18" s="11"/>
      <c r="AB18" s="11">
        <f>'Compare w prev'!AL18</f>
        <v>92.5</v>
      </c>
      <c r="AC18" s="11">
        <f>'Compare w prev'!AM18</f>
        <v>100</v>
      </c>
      <c r="AD18" s="30">
        <f>'Compare w prev'!L18</f>
        <v>85</v>
      </c>
      <c r="AE18" s="30">
        <f>'Compare w prev'!M18</f>
        <v>87.5</v>
      </c>
      <c r="AF18" s="11"/>
      <c r="AG18" s="30">
        <f>'Compare w prev'!O18</f>
        <v>100</v>
      </c>
      <c r="AH18" s="11"/>
      <c r="AI18" s="30">
        <f>'Compare w prev'!Q18</f>
        <v>100</v>
      </c>
      <c r="AJ18" s="11"/>
      <c r="AK18" s="11">
        <f>'Compare w prev'!AD18</f>
        <v>95</v>
      </c>
      <c r="AL18" s="11"/>
      <c r="AM18" s="11">
        <f>'Compare w prev'!AF18</f>
        <v>100</v>
      </c>
      <c r="AN18" s="11">
        <f>'Compare w prev'!AG18</f>
        <v>90</v>
      </c>
      <c r="AO18" s="11">
        <f>'Compare w prev'!AH18</f>
        <v>100</v>
      </c>
      <c r="AP18" s="11">
        <f>'Compare w prev'!AI18</f>
        <v>92.5</v>
      </c>
      <c r="AQ18" s="11">
        <f>'Compare w prev'!AJ18</f>
        <v>85</v>
      </c>
      <c r="AR18" s="11"/>
      <c r="AS18" s="11">
        <f>'Compare w prev'!AO18</f>
        <v>97.5</v>
      </c>
      <c r="AT18" s="31"/>
    </row>
    <row r="19" spans="1:46">
      <c r="A19" s="29" t="s">
        <v>43</v>
      </c>
      <c r="B19" s="11"/>
      <c r="C19" s="11">
        <f>'Compare w prev'!C19</f>
        <v>98.816155988857929</v>
      </c>
      <c r="D19" s="11">
        <f>'Compare w prev'!D19</f>
        <v>98.753481894150411</v>
      </c>
      <c r="E19" s="11">
        <f>'Compare w prev'!E19</f>
        <v>99.30362116991644</v>
      </c>
      <c r="F19" s="11"/>
      <c r="G19" s="11">
        <f>'Compare w prev'!G19</f>
        <v>99.30362116991644</v>
      </c>
      <c r="H19" s="11">
        <f>'Compare w prev'!H19</f>
        <v>98.600278551532043</v>
      </c>
      <c r="I19" s="11">
        <f>'Compare w prev'!I19</f>
        <v>99.164345403899716</v>
      </c>
      <c r="J19" s="11">
        <f>'Compare w prev'!J19</f>
        <v>99.199164345403901</v>
      </c>
      <c r="K19" s="11">
        <f>'Compare w prev'!K19</f>
        <v>99.373259052924794</v>
      </c>
      <c r="L19" s="11">
        <f>'Compare w prev'!AP19</f>
        <v>99.791086350974936</v>
      </c>
      <c r="M19" s="11">
        <f>'Compare w prev'!AQ19</f>
        <v>99.791086350974936</v>
      </c>
      <c r="N19" s="11">
        <f>'Compare w prev'!AR19</f>
        <v>98.99721448467966</v>
      </c>
      <c r="O19" s="11">
        <f>'Compare w prev'!AS19</f>
        <v>99.512534818941504</v>
      </c>
      <c r="P19" s="11"/>
      <c r="Q19" s="11">
        <f>'Compare w prev'!S19</f>
        <v>97.98050139275766</v>
      </c>
      <c r="R19" s="11">
        <f>'Compare w prev'!T19</f>
        <v>98.746518105849574</v>
      </c>
      <c r="S19" s="11"/>
      <c r="T19" s="11"/>
      <c r="U19" s="11">
        <f>'Compare w prev'!W19</f>
        <v>99.30362116991644</v>
      </c>
      <c r="V19" s="11"/>
      <c r="W19" s="11">
        <f>'Compare w prev'!Y19</f>
        <v>98.746518105849574</v>
      </c>
      <c r="X19" s="11">
        <f>'Compare w prev'!Z19</f>
        <v>99.164345403899716</v>
      </c>
      <c r="Y19" s="11"/>
      <c r="Z19" s="11">
        <f>'Compare w prev'!AB19</f>
        <v>99.373259052924794</v>
      </c>
      <c r="AA19" s="11"/>
      <c r="AB19" s="11">
        <f>'Compare w prev'!AL19</f>
        <v>98.259052924791092</v>
      </c>
      <c r="AC19" s="11">
        <f>'Compare w prev'!AM19</f>
        <v>99.373259052924794</v>
      </c>
      <c r="AD19" s="30">
        <f>'Compare w prev'!L19</f>
        <v>97.346796657381617</v>
      </c>
      <c r="AE19" s="30">
        <f>'Compare w prev'!M19</f>
        <v>98.119777158774369</v>
      </c>
      <c r="AF19" s="11"/>
      <c r="AG19" s="30">
        <f>'Compare w prev'!O19</f>
        <v>98.955431754874652</v>
      </c>
      <c r="AH19" s="11"/>
      <c r="AI19" s="30">
        <f>'Compare w prev'!Q19</f>
        <v>97.98050139275766</v>
      </c>
      <c r="AJ19" s="11"/>
      <c r="AK19" s="11">
        <f>'Compare w prev'!AD19</f>
        <v>97.284122562674085</v>
      </c>
      <c r="AL19" s="11"/>
      <c r="AM19" s="11">
        <f>'Compare w prev'!AF19</f>
        <v>98.467966573816156</v>
      </c>
      <c r="AN19" s="11">
        <f>'Compare w prev'!AG19</f>
        <v>98.328690807799447</v>
      </c>
      <c r="AO19" s="11">
        <f>'Compare w prev'!AH19</f>
        <v>98.955431754874652</v>
      </c>
      <c r="AP19" s="11">
        <f>'Compare w prev'!AI19</f>
        <v>97.346796657381617</v>
      </c>
      <c r="AQ19" s="11">
        <f>'Compare w prev'!AJ19</f>
        <v>98.398328690807801</v>
      </c>
      <c r="AR19" s="11"/>
      <c r="AS19" s="11">
        <f>'Compare w prev'!AO19</f>
        <v>98.885793871866284</v>
      </c>
      <c r="AT19" s="31"/>
    </row>
    <row r="20" spans="1:46">
      <c r="A20" s="29" t="s">
        <v>6</v>
      </c>
      <c r="B20" s="11"/>
      <c r="C20" s="11">
        <f>'Compare w prev'!C20</f>
        <v>100</v>
      </c>
      <c r="D20" s="11">
        <f>'Compare w prev'!D20</f>
        <v>98.611111111111114</v>
      </c>
      <c r="E20" s="11">
        <f>'Compare w prev'!E20</f>
        <v>100</v>
      </c>
      <c r="F20" s="11">
        <f>'Compare w prev'!F20</f>
        <v>100</v>
      </c>
      <c r="G20" s="11">
        <f>'Compare w prev'!G20</f>
        <v>100</v>
      </c>
      <c r="H20" s="11">
        <f>'Compare w prev'!H20</f>
        <v>98.611111111111114</v>
      </c>
      <c r="I20" s="11">
        <f>'Compare w prev'!I20</f>
        <v>100</v>
      </c>
      <c r="J20" s="11">
        <f>'Compare w prev'!J20</f>
        <v>98.611111111111114</v>
      </c>
      <c r="K20" s="11">
        <f>'Compare w prev'!K20</f>
        <v>98.611111111111114</v>
      </c>
      <c r="L20" s="11">
        <f>'Compare w prev'!AP20</f>
        <v>100</v>
      </c>
      <c r="M20" s="11">
        <f>'Compare w prev'!AQ20</f>
        <v>100</v>
      </c>
      <c r="N20" s="11">
        <f>'Compare w prev'!AR20</f>
        <v>98.611111111111114</v>
      </c>
      <c r="O20" s="11">
        <f>'Compare w prev'!AS20</f>
        <v>100</v>
      </c>
      <c r="P20" s="11"/>
      <c r="Q20" s="11">
        <f>'Compare w prev'!S20</f>
        <v>87.5</v>
      </c>
      <c r="R20" s="11">
        <f>'Compare w prev'!T20</f>
        <v>97.222222222222214</v>
      </c>
      <c r="S20" s="11"/>
      <c r="T20" s="11"/>
      <c r="U20" s="11">
        <f>'Compare w prev'!W20</f>
        <v>97.222222222222214</v>
      </c>
      <c r="V20" s="11">
        <f>'Compare w prev'!X20</f>
        <v>98.611111111111114</v>
      </c>
      <c r="W20" s="11"/>
      <c r="X20" s="11">
        <f>'Compare w prev'!Z20</f>
        <v>91.666666666666657</v>
      </c>
      <c r="Y20" s="11"/>
      <c r="Z20" s="11">
        <f>'Compare w prev'!AB20</f>
        <v>98.611111111111114</v>
      </c>
      <c r="AA20" s="11"/>
      <c r="AB20" s="11">
        <f>'Compare w prev'!AL20</f>
        <v>8.3333333333333321</v>
      </c>
      <c r="AC20" s="11">
        <f>'Compare w prev'!AM20</f>
        <v>97.222222222222214</v>
      </c>
      <c r="AD20" s="30">
        <f>'Compare w prev'!L20</f>
        <v>91.666666666666657</v>
      </c>
      <c r="AE20" s="30">
        <f>'Compare w prev'!M20</f>
        <v>91.666666666666657</v>
      </c>
      <c r="AF20" s="11"/>
      <c r="AG20" s="30">
        <f>'Compare w prev'!O20</f>
        <v>93.055555555555557</v>
      </c>
      <c r="AH20" s="11"/>
      <c r="AI20" s="30">
        <f>'Compare w prev'!Q20</f>
        <v>97.222222222222214</v>
      </c>
      <c r="AJ20" s="11"/>
      <c r="AK20" s="11">
        <f>'Compare w prev'!AD20</f>
        <v>90.277777777777786</v>
      </c>
      <c r="AL20" s="11"/>
      <c r="AM20" s="11">
        <f>'Compare w prev'!AF20</f>
        <v>98.611111111111114</v>
      </c>
      <c r="AN20" s="11">
        <f>'Compare w prev'!AG20</f>
        <v>84.722222222222214</v>
      </c>
      <c r="AO20" s="11">
        <f>'Compare w prev'!AH20</f>
        <v>97.222222222222214</v>
      </c>
      <c r="AP20" s="11">
        <f>'Compare w prev'!AI20</f>
        <v>84.722222222222214</v>
      </c>
      <c r="AQ20" s="11">
        <f>'Compare w prev'!AJ20</f>
        <v>97.222222222222214</v>
      </c>
      <c r="AR20" s="11"/>
      <c r="AS20" s="11">
        <f>'Compare w prev'!AO20</f>
        <v>97.222222222222214</v>
      </c>
      <c r="AT20" s="31"/>
    </row>
    <row r="21" spans="1:46">
      <c r="A21" s="29" t="s">
        <v>7</v>
      </c>
      <c r="B21" s="11"/>
      <c r="C21" s="11">
        <f>'Compare w prev'!C21</f>
        <v>57.999999999999993</v>
      </c>
      <c r="D21" s="11">
        <f>'Compare w prev'!D21</f>
        <v>52</v>
      </c>
      <c r="E21" s="11">
        <f>'Compare w prev'!E21</f>
        <v>52</v>
      </c>
      <c r="F21" s="11">
        <f>'Compare w prev'!F21</f>
        <v>49.8</v>
      </c>
      <c r="G21" s="11">
        <f>'Compare w prev'!G21</f>
        <v>70</v>
      </c>
      <c r="H21" s="11">
        <f>'Compare w prev'!H21</f>
        <v>68</v>
      </c>
      <c r="I21" s="11">
        <f>'Compare w prev'!I21</f>
        <v>68</v>
      </c>
      <c r="J21" s="11">
        <f>'Compare w prev'!J21</f>
        <v>64</v>
      </c>
      <c r="K21" s="11">
        <f>'Compare w prev'!K21</f>
        <v>60</v>
      </c>
      <c r="L21" s="11">
        <f>'Compare w prev'!AP21</f>
        <v>68</v>
      </c>
      <c r="M21" s="11">
        <f>'Compare w prev'!AQ21</f>
        <v>76</v>
      </c>
      <c r="N21" s="11">
        <f>'Compare w prev'!AR21</f>
        <v>62</v>
      </c>
      <c r="O21" s="11">
        <f>'Compare w prev'!AS21</f>
        <v>50</v>
      </c>
      <c r="P21" s="11"/>
      <c r="Q21" s="11">
        <f>'Compare w prev'!S21</f>
        <v>56.000000000000007</v>
      </c>
      <c r="R21" s="11">
        <f>'Compare w prev'!T21</f>
        <v>68</v>
      </c>
      <c r="S21" s="11"/>
      <c r="T21" s="11"/>
      <c r="U21" s="11">
        <f>'Compare w prev'!W21</f>
        <v>66</v>
      </c>
      <c r="V21" s="11"/>
      <c r="W21" s="11">
        <f>'Compare w prev'!Y21</f>
        <v>24</v>
      </c>
      <c r="X21" s="11">
        <f>'Compare w prev'!Z21</f>
        <v>74</v>
      </c>
      <c r="Y21" s="11"/>
      <c r="Z21" s="11">
        <f>'Compare w prev'!AB21</f>
        <v>74</v>
      </c>
      <c r="AA21" s="11"/>
      <c r="AB21" s="11">
        <f>'Compare w prev'!AL21</f>
        <v>50</v>
      </c>
      <c r="AC21" s="11">
        <f>'Compare w prev'!AM21</f>
        <v>66</v>
      </c>
      <c r="AD21" s="30">
        <f>'Compare w prev'!L21</f>
        <v>62</v>
      </c>
      <c r="AE21" s="30">
        <f>'Compare w prev'!M21</f>
        <v>66</v>
      </c>
      <c r="AF21" s="11"/>
      <c r="AG21" s="30">
        <f>'Compare w prev'!O21</f>
        <v>56.000000000000007</v>
      </c>
      <c r="AH21" s="11"/>
      <c r="AI21" s="30">
        <f>'Compare w prev'!Q21</f>
        <v>68</v>
      </c>
      <c r="AJ21" s="11"/>
      <c r="AK21" s="11">
        <f>'Compare w prev'!AD21</f>
        <v>42</v>
      </c>
      <c r="AL21" s="11"/>
      <c r="AM21" s="11">
        <f>'Compare w prev'!AF21</f>
        <v>42</v>
      </c>
      <c r="AN21" s="11">
        <f>'Compare w prev'!AG21</f>
        <v>44</v>
      </c>
      <c r="AO21" s="11">
        <f>'Compare w prev'!AH21</f>
        <v>72</v>
      </c>
      <c r="AP21" s="11">
        <f>'Compare w prev'!AI21</f>
        <v>24</v>
      </c>
      <c r="AQ21" s="11">
        <f>'Compare w prev'!AJ21</f>
        <v>40</v>
      </c>
      <c r="AR21" s="11"/>
      <c r="AS21" s="11">
        <f>'Compare w prev'!AO21</f>
        <v>60</v>
      </c>
      <c r="AT21" s="31"/>
    </row>
    <row r="22" spans="1:46">
      <c r="A22" s="29" t="s">
        <v>8</v>
      </c>
      <c r="B22" s="11"/>
      <c r="C22" s="11">
        <f>'Compare w prev'!C22</f>
        <v>61.832061068702295</v>
      </c>
      <c r="D22" s="11">
        <f>'Compare w prev'!D22</f>
        <v>78.625954198473281</v>
      </c>
      <c r="E22" s="11">
        <f>'Compare w prev'!E22</f>
        <v>91.603053435114504</v>
      </c>
      <c r="F22" s="11">
        <f>'Compare w prev'!F22</f>
        <v>89.465648854961827</v>
      </c>
      <c r="G22" s="11">
        <f>'Compare w prev'!G22</f>
        <v>97.70992366412213</v>
      </c>
      <c r="H22" s="11">
        <f>'Compare w prev'!H22</f>
        <v>98.473282442748086</v>
      </c>
      <c r="I22" s="11">
        <f>'Compare w prev'!I22</f>
        <v>98.473282442748086</v>
      </c>
      <c r="J22" s="11">
        <f>'Compare w prev'!J22</f>
        <v>96.18320610687023</v>
      </c>
      <c r="K22" s="11">
        <f>'Compare w prev'!K22</f>
        <v>98.473282442748086</v>
      </c>
      <c r="L22" s="11">
        <f>'Compare w prev'!AP22</f>
        <v>83.969465648854964</v>
      </c>
      <c r="M22" s="11">
        <f>'Compare w prev'!AQ22</f>
        <v>82.44274809160305</v>
      </c>
      <c r="N22" s="11">
        <f>'Compare w prev'!AR22</f>
        <v>87.022900763358777</v>
      </c>
      <c r="O22" s="11">
        <f>'Compare w prev'!AS22</f>
        <v>88.549618320610691</v>
      </c>
      <c r="P22" s="11"/>
      <c r="Q22" s="11">
        <f>'Compare w prev'!S22</f>
        <v>58.778625954198475</v>
      </c>
      <c r="R22" s="11">
        <f>'Compare w prev'!T22</f>
        <v>63.358778625954194</v>
      </c>
      <c r="S22" s="11"/>
      <c r="T22" s="11"/>
      <c r="U22" s="11">
        <f>'Compare w prev'!W22</f>
        <v>64.122137404580144</v>
      </c>
      <c r="V22" s="11"/>
      <c r="W22" s="11">
        <f>'Compare w prev'!Y22</f>
        <v>41.221374045801525</v>
      </c>
      <c r="X22" s="11">
        <f>'Compare w prev'!Z22</f>
        <v>81.679389312977108</v>
      </c>
      <c r="Y22" s="11"/>
      <c r="Z22" s="11">
        <f>'Compare w prev'!AB22</f>
        <v>61.068702290076338</v>
      </c>
      <c r="AA22" s="11"/>
      <c r="AB22" s="11">
        <f>'Compare w prev'!AL22</f>
        <v>48.091603053435115</v>
      </c>
      <c r="AC22" s="11">
        <f>'Compare w prev'!AM22</f>
        <v>66.412213740458014</v>
      </c>
      <c r="AD22" s="30">
        <f>'Compare w prev'!L22</f>
        <v>41.221374045801525</v>
      </c>
      <c r="AE22" s="30">
        <f>'Compare w prev'!M22</f>
        <v>42.748091603053432</v>
      </c>
      <c r="AF22" s="11"/>
      <c r="AG22" s="30">
        <f>'Compare w prev'!O22</f>
        <v>54.198473282442748</v>
      </c>
      <c r="AH22" s="11"/>
      <c r="AI22" s="30">
        <f>'Compare w prev'!Q22</f>
        <v>66.412213740458014</v>
      </c>
      <c r="AJ22" s="11"/>
      <c r="AK22" s="11">
        <f>'Compare w prev'!AD22</f>
        <v>63.358778625954194</v>
      </c>
      <c r="AL22" s="11"/>
      <c r="AM22" s="11">
        <f>'Compare w prev'!AF22</f>
        <v>70.992366412213741</v>
      </c>
      <c r="AN22" s="11">
        <f>'Compare w prev'!AG22</f>
        <v>54.961832061068705</v>
      </c>
      <c r="AO22" s="11">
        <f>'Compare w prev'!AH22</f>
        <v>58.015267175572518</v>
      </c>
      <c r="AP22" s="11">
        <f>'Compare w prev'!AI22</f>
        <v>54.198473282442748</v>
      </c>
      <c r="AQ22" s="11">
        <f>'Compare w prev'!AJ22</f>
        <v>57.251908396946561</v>
      </c>
      <c r="AR22" s="11"/>
      <c r="AS22" s="11">
        <f>'Compare w prev'!AO22</f>
        <v>59.541984732824424</v>
      </c>
      <c r="AT22" s="31"/>
    </row>
    <row r="23" spans="1:46">
      <c r="A23" s="29" t="s">
        <v>9</v>
      </c>
      <c r="B23" s="11"/>
      <c r="C23" s="11">
        <f>'Compare w prev'!C23</f>
        <v>96.376811594202891</v>
      </c>
      <c r="D23" s="11">
        <f>'Compare w prev'!D23</f>
        <v>98.550724637681171</v>
      </c>
      <c r="E23" s="11">
        <f>'Compare w prev'!E23</f>
        <v>99.275362318840578</v>
      </c>
      <c r="F23" s="11">
        <f>'Compare w prev'!F23</f>
        <v>99.782608695652158</v>
      </c>
      <c r="G23" s="11">
        <f>'Compare w prev'!G23</f>
        <v>100</v>
      </c>
      <c r="H23" s="11">
        <f>'Compare w prev'!H23</f>
        <v>100</v>
      </c>
      <c r="I23" s="11">
        <f>'Compare w prev'!I23</f>
        <v>100</v>
      </c>
      <c r="J23" s="11">
        <f>'Compare w prev'!J23</f>
        <v>100</v>
      </c>
      <c r="K23" s="11">
        <f>'Compare w prev'!K23</f>
        <v>100</v>
      </c>
      <c r="L23" s="11">
        <f>'Compare w prev'!AP23</f>
        <v>99.275362318840578</v>
      </c>
      <c r="M23" s="11">
        <f>'Compare w prev'!AQ23</f>
        <v>97.826086956521735</v>
      </c>
      <c r="N23" s="11">
        <f>'Compare w prev'!AR23</f>
        <v>97.101449275362313</v>
      </c>
      <c r="O23" s="11">
        <f>'Compare w prev'!AS23</f>
        <v>99.275362318840578</v>
      </c>
      <c r="P23" s="11"/>
      <c r="Q23" s="11">
        <f>'Compare w prev'!S23</f>
        <v>78.115942028985501</v>
      </c>
      <c r="R23" s="11">
        <f>'Compare w prev'!T23</f>
        <v>96.376811594202891</v>
      </c>
      <c r="S23" s="11"/>
      <c r="T23" s="11"/>
      <c r="U23" s="11">
        <f>'Compare w prev'!W23</f>
        <v>96.376811594202891</v>
      </c>
      <c r="V23" s="11">
        <f>'Compare w prev'!X23</f>
        <v>98.550724637681171</v>
      </c>
      <c r="W23" s="11"/>
      <c r="X23" s="11">
        <f>'Compare w prev'!Z23</f>
        <v>100</v>
      </c>
      <c r="Y23" s="11"/>
      <c r="Z23" s="11">
        <f>'Compare w prev'!AB23</f>
        <v>94.927536231884062</v>
      </c>
      <c r="AA23" s="11"/>
      <c r="AB23" s="11">
        <f>'Compare w prev'!AL23</f>
        <v>85.507246376811594</v>
      </c>
      <c r="AC23" s="11">
        <f>'Compare w prev'!AM23</f>
        <v>89.85507246376811</v>
      </c>
      <c r="AD23" s="30">
        <f>'Compare w prev'!L23</f>
        <v>60.144927536231883</v>
      </c>
      <c r="AE23" s="30">
        <f>'Compare w prev'!M23</f>
        <v>65.217391304347828</v>
      </c>
      <c r="AF23" s="11"/>
      <c r="AG23" s="30">
        <f>'Compare w prev'!O23</f>
        <v>97.101449275362313</v>
      </c>
      <c r="AH23" s="11"/>
      <c r="AI23" s="30">
        <f>'Compare w prev'!Q23</f>
        <v>66.666666666666657</v>
      </c>
      <c r="AJ23" s="11"/>
      <c r="AK23" s="11">
        <f>'Compare w prev'!AD23</f>
        <v>92.753623188405797</v>
      </c>
      <c r="AL23" s="11"/>
      <c r="AM23" s="11">
        <f>'Compare w prev'!AF23</f>
        <v>92.753623188405797</v>
      </c>
      <c r="AN23" s="11">
        <f>'Compare w prev'!AG23</f>
        <v>73.188405797101453</v>
      </c>
      <c r="AO23" s="11">
        <f>'Compare w prev'!AH23</f>
        <v>95.652173913043484</v>
      </c>
      <c r="AP23" s="11">
        <f>'Compare w prev'!AI23</f>
        <v>65.94202898550725</v>
      </c>
      <c r="AQ23" s="11">
        <f>'Compare w prev'!AJ23</f>
        <v>98.550724637681171</v>
      </c>
      <c r="AR23" s="11"/>
      <c r="AS23" s="11">
        <f>'Compare w prev'!AO23</f>
        <v>80.434782608695656</v>
      </c>
      <c r="AT23" s="31"/>
    </row>
    <row r="24" spans="1:46">
      <c r="A24" s="29" t="s">
        <v>44</v>
      </c>
      <c r="B24" s="11"/>
      <c r="C24" s="11">
        <f>'Compare w prev'!C24</f>
        <v>91.481481481481481</v>
      </c>
      <c r="D24" s="11">
        <f>'Compare w prev'!D24</f>
        <v>94.074074074074076</v>
      </c>
      <c r="E24" s="11">
        <f>'Compare w prev'!E24</f>
        <v>98.888888888888886</v>
      </c>
      <c r="F24" s="11">
        <f>'Compare w prev'!F24</f>
        <v>98.518518518518519</v>
      </c>
      <c r="G24" s="11">
        <f>'Compare w prev'!G24</f>
        <v>98.888888888888886</v>
      </c>
      <c r="H24" s="11">
        <f>'Compare w prev'!H24</f>
        <v>98.518518518518519</v>
      </c>
      <c r="I24" s="11">
        <f>'Compare w prev'!I24</f>
        <v>98.888888888888886</v>
      </c>
      <c r="J24" s="11">
        <f>'Compare w prev'!J24</f>
        <v>98.888888888888886</v>
      </c>
      <c r="K24" s="11">
        <f>'Compare w prev'!K24</f>
        <v>99.259259259259252</v>
      </c>
      <c r="L24" s="11">
        <f>'Compare w prev'!AP24</f>
        <v>95.18518518518519</v>
      </c>
      <c r="M24" s="11">
        <f>'Compare w prev'!AQ24</f>
        <v>87.777777777777771</v>
      </c>
      <c r="N24" s="11">
        <f>'Compare w prev'!AR24</f>
        <v>91.518518518518519</v>
      </c>
      <c r="O24" s="11">
        <f>'Compare w prev'!AS24</f>
        <v>97.037037037037038</v>
      </c>
      <c r="P24" s="11"/>
      <c r="Q24" s="11">
        <f>'Compare w prev'!S24</f>
        <v>94.074074074074076</v>
      </c>
      <c r="R24" s="11">
        <f>'Compare w prev'!T24</f>
        <v>95.555555555555557</v>
      </c>
      <c r="S24" s="11"/>
      <c r="T24" s="11"/>
      <c r="U24" s="11">
        <f>'Compare w prev'!W24</f>
        <v>97.407407407407405</v>
      </c>
      <c r="V24" s="11"/>
      <c r="W24" s="11">
        <f>'Compare w prev'!Y24</f>
        <v>91.481481481481481</v>
      </c>
      <c r="X24" s="11">
        <f>'Compare w prev'!Z24</f>
        <v>85.925925925925924</v>
      </c>
      <c r="Y24" s="11"/>
      <c r="Z24" s="11">
        <f>'Compare w prev'!AB24</f>
        <v>96.296296296296291</v>
      </c>
      <c r="AA24" s="11"/>
      <c r="AB24" s="11">
        <f>'Compare w prev'!AL24</f>
        <v>95.925925925925924</v>
      </c>
      <c r="AC24" s="11">
        <f>'Compare w prev'!AM24</f>
        <v>96.296296296296291</v>
      </c>
      <c r="AD24" s="30">
        <f>'Compare w prev'!L24</f>
        <v>91.481481481481481</v>
      </c>
      <c r="AE24" s="30">
        <f>'Compare w prev'!M24</f>
        <v>91.851851851851848</v>
      </c>
      <c r="AF24" s="11"/>
      <c r="AG24" s="30">
        <f>'Compare w prev'!O24</f>
        <v>94.444444444444443</v>
      </c>
      <c r="AH24" s="11"/>
      <c r="AI24" s="30">
        <f>'Compare w prev'!Q24</f>
        <v>77.777777777777786</v>
      </c>
      <c r="AJ24" s="11"/>
      <c r="AK24" s="11">
        <f>'Compare w prev'!AD24</f>
        <v>95.925925925925924</v>
      </c>
      <c r="AL24" s="11"/>
      <c r="AM24" s="11">
        <f>'Compare w prev'!AF24</f>
        <v>96.296296296296291</v>
      </c>
      <c r="AN24" s="11">
        <f>'Compare w prev'!AG24</f>
        <v>94.074074074074076</v>
      </c>
      <c r="AO24" s="11">
        <f>'Compare w prev'!AH24</f>
        <v>97.407407407407405</v>
      </c>
      <c r="AP24" s="11">
        <f>'Compare w prev'!AI24</f>
        <v>92.592592592592595</v>
      </c>
      <c r="AQ24" s="11">
        <f>'Compare w prev'!AJ24</f>
        <v>96.666666666666671</v>
      </c>
      <c r="AR24" s="11"/>
      <c r="AS24" s="11">
        <f>'Compare w prev'!AO24</f>
        <v>94.814814814814824</v>
      </c>
      <c r="AT24" s="31"/>
    </row>
    <row r="25" spans="1:46">
      <c r="A25" s="29" t="s">
        <v>10</v>
      </c>
      <c r="B25" s="11"/>
      <c r="C25" s="11">
        <f>'Compare w prev'!C25</f>
        <v>53</v>
      </c>
      <c r="D25" s="11">
        <f>'Compare w prev'!D25</f>
        <v>61</v>
      </c>
      <c r="E25" s="11">
        <f>'Compare w prev'!E25</f>
        <v>56.999999999999993</v>
      </c>
      <c r="F25" s="11">
        <f>'Compare w prev'!F25</f>
        <v>55.2</v>
      </c>
      <c r="G25" s="11">
        <f>'Compare w prev'!G25</f>
        <v>61</v>
      </c>
      <c r="H25" s="11">
        <f>'Compare w prev'!H25</f>
        <v>55.000000000000007</v>
      </c>
      <c r="I25" s="11">
        <f>'Compare w prev'!I25</f>
        <v>55.000000000000007</v>
      </c>
      <c r="J25" s="11">
        <f>'Compare w prev'!J25</f>
        <v>56.000000000000007</v>
      </c>
      <c r="K25" s="11">
        <f>'Compare w prev'!K25</f>
        <v>60</v>
      </c>
      <c r="L25" s="11">
        <f>'Compare w prev'!AP25</f>
        <v>64</v>
      </c>
      <c r="M25" s="11">
        <f>'Compare w prev'!AQ25</f>
        <v>67</v>
      </c>
      <c r="N25" s="11">
        <f>'Compare w prev'!AR25</f>
        <v>69</v>
      </c>
      <c r="O25" s="11">
        <f>'Compare w prev'!AS25</f>
        <v>66</v>
      </c>
      <c r="P25" s="11"/>
      <c r="Q25" s="11">
        <f>'Compare w prev'!S25</f>
        <v>59.4</v>
      </c>
      <c r="R25" s="11">
        <f>'Compare w prev'!T25</f>
        <v>66</v>
      </c>
      <c r="S25" s="11"/>
      <c r="T25" s="11"/>
      <c r="U25" s="11">
        <f>'Compare w prev'!W25</f>
        <v>67</v>
      </c>
      <c r="V25" s="11">
        <f>'Compare w prev'!X25</f>
        <v>61</v>
      </c>
      <c r="W25" s="11"/>
      <c r="X25" s="11">
        <f>'Compare w prev'!Z25</f>
        <v>68</v>
      </c>
      <c r="Y25" s="11"/>
      <c r="Z25" s="11">
        <f>'Compare w prev'!AB25</f>
        <v>67</v>
      </c>
      <c r="AA25" s="11"/>
      <c r="AB25" s="11">
        <f>'Compare w prev'!AL25</f>
        <v>56.999999999999993</v>
      </c>
      <c r="AC25" s="11">
        <f>'Compare w prev'!AM25</f>
        <v>66</v>
      </c>
      <c r="AD25" s="30">
        <f>'Compare w prev'!L25</f>
        <v>64</v>
      </c>
      <c r="AE25" s="30">
        <f>'Compare w prev'!M25</f>
        <v>62</v>
      </c>
      <c r="AF25" s="11"/>
      <c r="AG25" s="30">
        <f>'Compare w prev'!O25</f>
        <v>64</v>
      </c>
      <c r="AH25" s="11"/>
      <c r="AI25" s="30">
        <f>'Compare w prev'!Q25</f>
        <v>63</v>
      </c>
      <c r="AJ25" s="11"/>
      <c r="AK25" s="11">
        <f>'Compare w prev'!AD25</f>
        <v>72</v>
      </c>
      <c r="AL25" s="11"/>
      <c r="AM25" s="11">
        <f>'Compare w prev'!AF25</f>
        <v>66</v>
      </c>
      <c r="AN25" s="11">
        <f>'Compare w prev'!AG25</f>
        <v>64</v>
      </c>
      <c r="AO25" s="11">
        <f>'Compare w prev'!AH25</f>
        <v>64</v>
      </c>
      <c r="AP25" s="11">
        <f>'Compare w prev'!AI25</f>
        <v>62</v>
      </c>
      <c r="AQ25" s="11">
        <f>'Compare w prev'!AJ25</f>
        <v>63</v>
      </c>
      <c r="AR25" s="11"/>
      <c r="AS25" s="11">
        <f>'Compare w prev'!AO25</f>
        <v>64</v>
      </c>
      <c r="AT25" s="31"/>
    </row>
    <row r="26" spans="1:46">
      <c r="A26" s="29" t="s">
        <v>11</v>
      </c>
      <c r="B26" s="11"/>
      <c r="C26" s="11">
        <f>'Compare w prev'!C26</f>
        <v>18.918918918918919</v>
      </c>
      <c r="D26" s="11">
        <f>'Compare w prev'!D26</f>
        <v>50</v>
      </c>
      <c r="E26" s="11">
        <f>'Compare w prev'!E26</f>
        <v>51.351351351351347</v>
      </c>
      <c r="F26" s="11">
        <f>'Compare w prev'!F26</f>
        <v>39.729729729729726</v>
      </c>
      <c r="G26" s="11">
        <f>'Compare w prev'!G26</f>
        <v>48.648648648648653</v>
      </c>
      <c r="H26" s="11">
        <f>'Compare w prev'!H26</f>
        <v>21.621621621621621</v>
      </c>
      <c r="I26" s="11">
        <f>'Compare w prev'!I26</f>
        <v>51.351351351351347</v>
      </c>
      <c r="J26" s="11">
        <f>'Compare w prev'!J26</f>
        <v>36.486486486486484</v>
      </c>
      <c r="K26" s="11">
        <f>'Compare w prev'!K26</f>
        <v>36.486486486486484</v>
      </c>
      <c r="L26" s="11">
        <f>'Compare w prev'!AP26</f>
        <v>48.648648648648653</v>
      </c>
      <c r="M26" s="11">
        <f>'Compare w prev'!AQ26</f>
        <v>45.945945945945951</v>
      </c>
      <c r="N26" s="11">
        <f>'Compare w prev'!AR26</f>
        <v>71.621621621621628</v>
      </c>
      <c r="O26" s="11">
        <f>'Compare w prev'!AS26</f>
        <v>60.810810810810814</v>
      </c>
      <c r="P26" s="11"/>
      <c r="Q26" s="11">
        <f>'Compare w prev'!S26</f>
        <v>50</v>
      </c>
      <c r="R26" s="11">
        <f>'Compare w prev'!T26</f>
        <v>72.972972972972968</v>
      </c>
      <c r="S26" s="11"/>
      <c r="T26" s="11"/>
      <c r="U26" s="11">
        <f>'Compare w prev'!W26</f>
        <v>66.21621621621621</v>
      </c>
      <c r="V26" s="11">
        <f>'Compare w prev'!X26</f>
        <v>52.702702702702695</v>
      </c>
      <c r="W26" s="11"/>
      <c r="X26" s="11">
        <f>'Compare w prev'!Z26</f>
        <v>48.648648648648653</v>
      </c>
      <c r="Y26" s="11"/>
      <c r="Z26" s="11">
        <f>'Compare w prev'!AB26</f>
        <v>72.972972972972968</v>
      </c>
      <c r="AA26" s="11"/>
      <c r="AB26" s="11">
        <f>'Compare w prev'!AL26</f>
        <v>18.918918918918919</v>
      </c>
      <c r="AC26" s="11">
        <f>'Compare w prev'!AM26</f>
        <v>70.270270270270274</v>
      </c>
      <c r="AD26" s="30">
        <f>'Compare w prev'!L26</f>
        <v>58.108108108108105</v>
      </c>
      <c r="AE26" s="30">
        <f>'Compare w prev'!M26</f>
        <v>66.21621621621621</v>
      </c>
      <c r="AF26" s="11"/>
      <c r="AG26" s="30">
        <f>'Compare w prev'!O26</f>
        <v>66.21621621621621</v>
      </c>
      <c r="AH26" s="11"/>
      <c r="AI26" s="30">
        <f>'Compare w prev'!Q26</f>
        <v>70.270270270270274</v>
      </c>
      <c r="AJ26" s="11"/>
      <c r="AK26" s="11">
        <f>'Compare w prev'!AD26</f>
        <v>71.621621621621628</v>
      </c>
      <c r="AL26" s="11"/>
      <c r="AM26" s="11">
        <f>'Compare w prev'!AF26</f>
        <v>63.513513513513509</v>
      </c>
      <c r="AN26" s="11">
        <f>'Compare w prev'!AG26</f>
        <v>58.108108108108105</v>
      </c>
      <c r="AO26" s="11">
        <f>'Compare w prev'!AH26</f>
        <v>66.21621621621621</v>
      </c>
      <c r="AP26" s="11">
        <f>'Compare w prev'!AI26</f>
        <v>58.108108108108105</v>
      </c>
      <c r="AQ26" s="11">
        <f>'Compare w prev'!AJ26</f>
        <v>63.513513513513509</v>
      </c>
      <c r="AR26" s="11"/>
      <c r="AS26" s="11">
        <f>'Compare w prev'!AO26</f>
        <v>58.108108108108105</v>
      </c>
      <c r="AT26" s="31"/>
    </row>
    <row r="27" spans="1:46">
      <c r="A27" s="29" t="s">
        <v>45</v>
      </c>
      <c r="B27" s="11"/>
      <c r="C27" s="11">
        <f>'Compare w prev'!C27</f>
        <v>48.692</v>
      </c>
      <c r="D27" s="11">
        <f>'Compare w prev'!D27</f>
        <v>10</v>
      </c>
      <c r="E27" s="11">
        <f>'Compare w prev'!E27</f>
        <v>38.524000000000001</v>
      </c>
      <c r="F27" s="11"/>
      <c r="G27" s="11">
        <f>'Compare w prev'!G27</f>
        <v>66.796000000000006</v>
      </c>
      <c r="H27" s="11">
        <f>'Compare w prev'!H27</f>
        <v>67.900000000000006</v>
      </c>
      <c r="I27" s="11">
        <f>'Compare w prev'!I27</f>
        <v>67.052000000000007</v>
      </c>
      <c r="J27" s="11">
        <f>'Compare w prev'!J27</f>
        <v>66.7</v>
      </c>
      <c r="K27" s="11">
        <f>'Compare w prev'!K27</f>
        <v>65.744</v>
      </c>
      <c r="L27" s="11">
        <f>'Compare w prev'!AP27</f>
        <v>66.751999999999995</v>
      </c>
      <c r="M27" s="11">
        <f>'Compare w prev'!AQ27</f>
        <v>67.179999999999993</v>
      </c>
      <c r="N27" s="11">
        <f>'Compare w prev'!AR27</f>
        <v>14.3</v>
      </c>
      <c r="O27" s="11">
        <f>'Compare w prev'!AS27</f>
        <v>68.244</v>
      </c>
      <c r="P27" s="11"/>
      <c r="Q27" s="11">
        <f>'Compare w prev'!S27</f>
        <v>10</v>
      </c>
      <c r="R27" s="11">
        <f>'Compare w prev'!T27</f>
        <v>64.024000000000001</v>
      </c>
      <c r="S27" s="11"/>
      <c r="T27" s="11"/>
      <c r="U27" s="11">
        <f>'Compare w prev'!W27</f>
        <v>75.587999999999994</v>
      </c>
      <c r="V27" s="11">
        <f>'Compare w prev'!X27</f>
        <v>10</v>
      </c>
      <c r="W27" s="11"/>
      <c r="X27" s="11">
        <f>'Compare w prev'!Z27</f>
        <v>10.012</v>
      </c>
      <c r="Y27" s="11"/>
      <c r="Z27" s="11">
        <f>'Compare w prev'!AB27</f>
        <v>64.192000000000007</v>
      </c>
      <c r="AA27" s="11"/>
      <c r="AB27" s="11">
        <f>'Compare w prev'!AL27</f>
        <v>10</v>
      </c>
      <c r="AC27" s="11">
        <f>'Compare w prev'!AM27</f>
        <v>61.395999999999994</v>
      </c>
      <c r="AD27" s="30">
        <f>'Compare w prev'!L27</f>
        <v>10</v>
      </c>
      <c r="AE27" s="30">
        <f>'Compare w prev'!M27</f>
        <v>18.995999999999999</v>
      </c>
      <c r="AF27" s="11"/>
      <c r="AG27" s="30">
        <f>'Compare w prev'!O27</f>
        <v>71.676000000000002</v>
      </c>
      <c r="AH27" s="11"/>
      <c r="AI27" s="30">
        <f>'Compare w prev'!Q27</f>
        <v>72.424000000000007</v>
      </c>
      <c r="AJ27" s="11"/>
      <c r="AK27" s="11">
        <f>'Compare w prev'!AD27</f>
        <v>65.244</v>
      </c>
      <c r="AL27" s="11"/>
      <c r="AM27" s="11">
        <f>'Compare w prev'!AF27</f>
        <v>64.868000000000009</v>
      </c>
      <c r="AN27" s="11">
        <f>'Compare w prev'!AG27</f>
        <v>10</v>
      </c>
      <c r="AO27" s="11">
        <f>'Compare w prev'!AH27</f>
        <v>73.712000000000003</v>
      </c>
      <c r="AP27" s="11">
        <f>'Compare w prev'!AI27</f>
        <v>10</v>
      </c>
      <c r="AQ27" s="11">
        <f>'Compare w prev'!AJ27</f>
        <v>60.936</v>
      </c>
      <c r="AR27" s="11"/>
      <c r="AS27" s="11">
        <f>'Compare w prev'!AO27</f>
        <v>73.436000000000007</v>
      </c>
      <c r="AT27" s="31"/>
    </row>
    <row r="28" spans="1:46">
      <c r="A28" s="29" t="s">
        <v>12</v>
      </c>
      <c r="B28" s="11"/>
      <c r="C28" s="11">
        <f>'Compare w prev'!C28</f>
        <v>87.222222222222229</v>
      </c>
      <c r="D28" s="11">
        <f>'Compare w prev'!D28</f>
        <v>83.888888888888886</v>
      </c>
      <c r="E28" s="11">
        <f>'Compare w prev'!E28</f>
        <v>90.555555555555557</v>
      </c>
      <c r="F28" s="11">
        <f>'Compare w prev'!F28</f>
        <v>92.666666666666671</v>
      </c>
      <c r="G28" s="11">
        <f>'Compare w prev'!G28</f>
        <v>94.444444444444443</v>
      </c>
      <c r="H28" s="11">
        <f>'Compare w prev'!H28</f>
        <v>93.277777777777786</v>
      </c>
      <c r="I28" s="11">
        <f>'Compare w prev'!I28</f>
        <v>93.333333333333329</v>
      </c>
      <c r="J28" s="11">
        <f>'Compare w prev'!J28</f>
        <v>92.777777777777786</v>
      </c>
      <c r="K28" s="11">
        <f>'Compare w prev'!K28</f>
        <v>93.333333333333329</v>
      </c>
      <c r="L28" s="11">
        <f>'Compare w prev'!AP28</f>
        <v>97.222222222222214</v>
      </c>
      <c r="M28" s="11">
        <f>'Compare w prev'!AQ28</f>
        <v>97.222222222222214</v>
      </c>
      <c r="N28" s="11">
        <f>'Compare w prev'!AR28</f>
        <v>90</v>
      </c>
      <c r="O28" s="11">
        <f>'Compare w prev'!AS28</f>
        <v>91.666666666666657</v>
      </c>
      <c r="P28" s="11"/>
      <c r="Q28" s="11">
        <f>'Compare w prev'!S28</f>
        <v>77.833333333333329</v>
      </c>
      <c r="R28" s="11">
        <f>'Compare w prev'!T28</f>
        <v>88.333333333333329</v>
      </c>
      <c r="S28" s="11"/>
      <c r="T28" s="11"/>
      <c r="U28" s="11">
        <f>'Compare w prev'!W28</f>
        <v>90</v>
      </c>
      <c r="V28" s="11">
        <f>'Compare w prev'!X28</f>
        <v>92.777777777777786</v>
      </c>
      <c r="W28" s="11"/>
      <c r="X28" s="11">
        <f>'Compare w prev'!Z28</f>
        <v>95.555555555555557</v>
      </c>
      <c r="Y28" s="11"/>
      <c r="Z28" s="11">
        <f>'Compare w prev'!AB28</f>
        <v>88.333333333333329</v>
      </c>
      <c r="AA28" s="11"/>
      <c r="AB28" s="11">
        <f>'Compare w prev'!AL28</f>
        <v>79.444444444444443</v>
      </c>
      <c r="AC28" s="11">
        <f>'Compare w prev'!AM28</f>
        <v>87.777777777777771</v>
      </c>
      <c r="AD28" s="30">
        <f>'Compare w prev'!L28</f>
        <v>73.333333333333329</v>
      </c>
      <c r="AE28" s="30">
        <f>'Compare w prev'!M28</f>
        <v>70.555555555555557</v>
      </c>
      <c r="AF28" s="11"/>
      <c r="AG28" s="30">
        <f>'Compare w prev'!O28</f>
        <v>89.444444444444443</v>
      </c>
      <c r="AH28" s="11"/>
      <c r="AI28" s="30">
        <f>'Compare w prev'!Q28</f>
        <v>34.444444444444443</v>
      </c>
      <c r="AJ28" s="11"/>
      <c r="AK28" s="11">
        <f>'Compare w prev'!AD28</f>
        <v>93.333333333333329</v>
      </c>
      <c r="AL28" s="11"/>
      <c r="AM28" s="11">
        <f>'Compare w prev'!AF28</f>
        <v>90</v>
      </c>
      <c r="AN28" s="11">
        <f>'Compare w prev'!AG28</f>
        <v>76.111111111111114</v>
      </c>
      <c r="AO28" s="11">
        <f>'Compare w prev'!AH28</f>
        <v>90.555555555555557</v>
      </c>
      <c r="AP28" s="11">
        <f>'Compare w prev'!AI28</f>
        <v>81.111111111111114</v>
      </c>
      <c r="AQ28" s="11">
        <f>'Compare w prev'!AJ28</f>
        <v>81.666666666666671</v>
      </c>
      <c r="AR28" s="11"/>
      <c r="AS28" s="11">
        <f>'Compare w prev'!AO28</f>
        <v>91.666666666666657</v>
      </c>
      <c r="AT28" s="31"/>
    </row>
    <row r="29" spans="1:46">
      <c r="A29" s="29" t="s">
        <v>13</v>
      </c>
      <c r="B29" s="11"/>
      <c r="C29" s="11">
        <f>'Compare w prev'!C29</f>
        <v>55.109489051094897</v>
      </c>
      <c r="D29" s="11">
        <f>'Compare w prev'!D29</f>
        <v>54.099756690997559</v>
      </c>
      <c r="E29" s="11">
        <f>'Compare w prev'!E29</f>
        <v>64.030819140308196</v>
      </c>
      <c r="F29" s="11">
        <f>'Compare w prev'!F29</f>
        <v>63.694241686942419</v>
      </c>
      <c r="G29" s="11">
        <f>'Compare w prev'!G29</f>
        <v>66.38280616382805</v>
      </c>
      <c r="H29" s="11">
        <f>'Compare w prev'!H29</f>
        <v>60.701540957015411</v>
      </c>
      <c r="I29" s="11">
        <f>'Compare w prev'!I29</f>
        <v>66.504460665044604</v>
      </c>
      <c r="J29" s="11">
        <f>'Compare w prev'!J29</f>
        <v>63.600973236009736</v>
      </c>
      <c r="K29" s="11">
        <f>'Compare w prev'!K29</f>
        <v>64.274128142741276</v>
      </c>
      <c r="L29" s="11">
        <f>'Compare w prev'!AP29</f>
        <v>60.66504460665044</v>
      </c>
      <c r="M29" s="11">
        <f>'Compare w prev'!AQ29</f>
        <v>59.570154095701547</v>
      </c>
      <c r="N29" s="11">
        <f>'Compare w prev'!AR29</f>
        <v>60.300081103000814</v>
      </c>
      <c r="O29" s="11">
        <f>'Compare w prev'!AS29</f>
        <v>60.056772100567727</v>
      </c>
      <c r="P29" s="11"/>
      <c r="Q29" s="11">
        <f>'Compare w prev'!S29</f>
        <v>59.209245742092456</v>
      </c>
      <c r="R29" s="11">
        <f>'Compare w prev'!T29</f>
        <v>44.120032441200323</v>
      </c>
      <c r="S29" s="11"/>
      <c r="T29" s="11"/>
      <c r="U29" s="11">
        <f>'Compare w prev'!W29</f>
        <v>43.592862935928629</v>
      </c>
      <c r="V29" s="11">
        <f>'Compare w prev'!X29</f>
        <v>66.338199513381994</v>
      </c>
      <c r="W29" s="11"/>
      <c r="X29" s="11">
        <f>'Compare w prev'!Z29</f>
        <v>51.013787510137874</v>
      </c>
      <c r="Y29" s="11"/>
      <c r="Z29" s="11">
        <f>'Compare w prev'!AB29</f>
        <v>44.444444444444443</v>
      </c>
      <c r="AA29" s="11"/>
      <c r="AB29" s="11">
        <f>'Compare w prev'!AL29</f>
        <v>46.390916463909164</v>
      </c>
      <c r="AC29" s="11">
        <f>'Compare w prev'!AM29</f>
        <v>38.077858880778585</v>
      </c>
      <c r="AD29" s="30">
        <f>'Compare w prev'!L29</f>
        <v>35.77047850770478</v>
      </c>
      <c r="AE29" s="30">
        <f>'Compare w prev'!M29</f>
        <v>34.022708840227089</v>
      </c>
      <c r="AF29" s="11"/>
      <c r="AG29" s="30">
        <f>'Compare w prev'!O29</f>
        <v>41.524736415247368</v>
      </c>
      <c r="AH29" s="11"/>
      <c r="AI29" s="30">
        <f>'Compare w prev'!Q29</f>
        <v>34.18491484184915</v>
      </c>
      <c r="AJ29" s="11"/>
      <c r="AK29" s="11">
        <f>'Compare w prev'!AD29</f>
        <v>40.997566909975667</v>
      </c>
      <c r="AL29" s="11"/>
      <c r="AM29" s="11">
        <f>'Compare w prev'!AF29</f>
        <v>41.240875912408761</v>
      </c>
      <c r="AN29" s="11">
        <f>'Compare w prev'!AG29</f>
        <v>42.818329278183299</v>
      </c>
      <c r="AO29" s="11">
        <f>'Compare w prev'!AH29</f>
        <v>41.768045417680455</v>
      </c>
      <c r="AP29" s="11">
        <f>'Compare w prev'!AI29</f>
        <v>67.798053527980542</v>
      </c>
      <c r="AQ29" s="11">
        <f>'Compare w prev'!AJ29</f>
        <v>56.731549067315491</v>
      </c>
      <c r="AR29" s="11"/>
      <c r="AS29" s="11">
        <f>'Compare w prev'!AO29</f>
        <v>40.673154906731554</v>
      </c>
      <c r="AT29" s="31"/>
    </row>
    <row r="30" spans="1:46">
      <c r="A30" s="29" t="s">
        <v>14</v>
      </c>
      <c r="B30" s="11"/>
      <c r="C30" s="11">
        <f>'Compare w prev'!C30</f>
        <v>50</v>
      </c>
      <c r="D30" s="11">
        <f>'Compare w prev'!D30</f>
        <v>53</v>
      </c>
      <c r="E30" s="11">
        <f>'Compare w prev'!E30</f>
        <v>54</v>
      </c>
      <c r="F30" s="11">
        <f>'Compare w prev'!F30</f>
        <v>53.2</v>
      </c>
      <c r="G30" s="11">
        <f>'Compare w prev'!G30</f>
        <v>50</v>
      </c>
      <c r="H30" s="11">
        <f>'Compare w prev'!H30</f>
        <v>50</v>
      </c>
      <c r="I30" s="11">
        <f>'Compare w prev'!I30</f>
        <v>54</v>
      </c>
      <c r="J30" s="11">
        <f>'Compare w prev'!J30</f>
        <v>48</v>
      </c>
      <c r="K30" s="11">
        <f>'Compare w prev'!K30</f>
        <v>51</v>
      </c>
      <c r="L30" s="11">
        <f>'Compare w prev'!AP30</f>
        <v>64</v>
      </c>
      <c r="M30" s="11">
        <f>'Compare w prev'!AQ30</f>
        <v>67</v>
      </c>
      <c r="N30" s="11">
        <f>'Compare w prev'!AR30</f>
        <v>62</v>
      </c>
      <c r="O30" s="11">
        <f>'Compare w prev'!AS30</f>
        <v>67</v>
      </c>
      <c r="P30" s="11"/>
      <c r="Q30" s="11">
        <f>'Compare w prev'!S30</f>
        <v>51</v>
      </c>
      <c r="R30" s="11">
        <f>'Compare w prev'!T30</f>
        <v>68</v>
      </c>
      <c r="S30" s="11"/>
      <c r="T30" s="11"/>
      <c r="U30" s="11">
        <f>'Compare w prev'!W30</f>
        <v>67</v>
      </c>
      <c r="V30" s="11">
        <f>'Compare w prev'!X30</f>
        <v>62</v>
      </c>
      <c r="W30" s="11"/>
      <c r="X30" s="11">
        <f>'Compare w prev'!Z30</f>
        <v>71</v>
      </c>
      <c r="Y30" s="11"/>
      <c r="Z30" s="11">
        <f>'Compare w prev'!AB30</f>
        <v>67</v>
      </c>
      <c r="AA30" s="11"/>
      <c r="AB30" s="11">
        <f>'Compare w prev'!AL30</f>
        <v>50</v>
      </c>
      <c r="AC30" s="11">
        <f>'Compare w prev'!AM30</f>
        <v>67</v>
      </c>
      <c r="AD30" s="30">
        <f>'Compare w prev'!L30</f>
        <v>61</v>
      </c>
      <c r="AE30" s="30">
        <f>'Compare w prev'!M30</f>
        <v>64</v>
      </c>
      <c r="AF30" s="11"/>
      <c r="AG30" s="30">
        <f>'Compare w prev'!O30</f>
        <v>68</v>
      </c>
      <c r="AH30" s="11"/>
      <c r="AI30" s="30">
        <f>'Compare w prev'!Q30</f>
        <v>66</v>
      </c>
      <c r="AJ30" s="11"/>
      <c r="AK30" s="11">
        <f>'Compare w prev'!AD30</f>
        <v>65</v>
      </c>
      <c r="AL30" s="11"/>
      <c r="AM30" s="11">
        <f>'Compare w prev'!AF30</f>
        <v>67</v>
      </c>
      <c r="AN30" s="11">
        <f>'Compare w prev'!AG30</f>
        <v>61</v>
      </c>
      <c r="AO30" s="11">
        <f>'Compare w prev'!AH30</f>
        <v>68</v>
      </c>
      <c r="AP30" s="11">
        <f>'Compare w prev'!AI30</f>
        <v>61</v>
      </c>
      <c r="AQ30" s="11">
        <f>'Compare w prev'!AJ30</f>
        <v>69</v>
      </c>
      <c r="AR30" s="11"/>
      <c r="AS30" s="11">
        <f>'Compare w prev'!AO30</f>
        <v>67</v>
      </c>
      <c r="AT30" s="31"/>
    </row>
    <row r="31" spans="1:46">
      <c r="A31" s="29" t="s">
        <v>46</v>
      </c>
      <c r="B31" s="11"/>
      <c r="C31" s="11">
        <f>'Compare w prev'!C31</f>
        <v>88.333333333333329</v>
      </c>
      <c r="D31" s="11">
        <f>'Compare w prev'!D31</f>
        <v>83.333333333333343</v>
      </c>
      <c r="E31" s="11">
        <f>'Compare w prev'!E31</f>
        <v>89.444444444444443</v>
      </c>
      <c r="F31" s="11">
        <f>'Compare w prev'!F31</f>
        <v>89.222222222222214</v>
      </c>
      <c r="G31" s="11">
        <f>'Compare w prev'!G31</f>
        <v>91.111111111111114</v>
      </c>
      <c r="H31" s="11">
        <f>'Compare w prev'!H31</f>
        <v>87.222222222222229</v>
      </c>
      <c r="I31" s="11">
        <f>'Compare w prev'!I31</f>
        <v>90</v>
      </c>
      <c r="J31" s="11">
        <f>'Compare w prev'!J31</f>
        <v>91.722222222222214</v>
      </c>
      <c r="K31" s="11">
        <f>'Compare w prev'!K31</f>
        <v>93.333333333333329</v>
      </c>
      <c r="L31" s="11">
        <f>'Compare w prev'!AP31</f>
        <v>98.888888888888886</v>
      </c>
      <c r="M31" s="11">
        <f>'Compare w prev'!AQ31</f>
        <v>98.888888888888886</v>
      </c>
      <c r="N31" s="11">
        <f>'Compare w prev'!AR31</f>
        <v>94.444444444444443</v>
      </c>
      <c r="O31" s="11">
        <f>'Compare w prev'!AS31</f>
        <v>92.222222222222229</v>
      </c>
      <c r="P31" s="11"/>
      <c r="Q31" s="11">
        <f>'Compare w prev'!S31</f>
        <v>81.833333333333343</v>
      </c>
      <c r="R31" s="11">
        <f>'Compare w prev'!T31</f>
        <v>98.333333333333329</v>
      </c>
      <c r="S31" s="11"/>
      <c r="T31" s="11"/>
      <c r="U31" s="11">
        <f>'Compare w prev'!W31</f>
        <v>95.555555555555557</v>
      </c>
      <c r="V31" s="11">
        <f>'Compare w prev'!X31</f>
        <v>95.555555555555557</v>
      </c>
      <c r="W31" s="11"/>
      <c r="X31" s="11">
        <f>'Compare w prev'!Z31</f>
        <v>99.444444444444443</v>
      </c>
      <c r="Y31" s="11"/>
      <c r="Z31" s="11">
        <f>'Compare w prev'!AB31</f>
        <v>96.111111111111114</v>
      </c>
      <c r="AA31" s="11"/>
      <c r="AB31" s="11">
        <f>'Compare w prev'!AL31</f>
        <v>91.666666666666657</v>
      </c>
      <c r="AC31" s="11">
        <f>'Compare w prev'!AM31</f>
        <v>96.111111111111114</v>
      </c>
      <c r="AD31" s="30">
        <f>'Compare w prev'!L31</f>
        <v>93.888888888888886</v>
      </c>
      <c r="AE31" s="30">
        <f>'Compare w prev'!M31</f>
        <v>96.111111111111114</v>
      </c>
      <c r="AF31" s="11"/>
      <c r="AG31" s="30">
        <f>'Compare w prev'!O31</f>
        <v>97.222222222222214</v>
      </c>
      <c r="AH31" s="11"/>
      <c r="AI31" s="30">
        <f>'Compare w prev'!Q31</f>
        <v>95</v>
      </c>
      <c r="AJ31" s="11"/>
      <c r="AK31" s="11">
        <f>'Compare w prev'!AD31</f>
        <v>96.111111111111114</v>
      </c>
      <c r="AL31" s="11"/>
      <c r="AM31" s="11">
        <f>'Compare w prev'!AF31</f>
        <v>93.333333333333329</v>
      </c>
      <c r="AN31" s="11">
        <f>'Compare w prev'!AG31</f>
        <v>88.333333333333329</v>
      </c>
      <c r="AO31" s="11">
        <f>'Compare w prev'!AH31</f>
        <v>93.888888888888886</v>
      </c>
      <c r="AP31" s="11">
        <f>'Compare w prev'!AI31</f>
        <v>96.666666666666671</v>
      </c>
      <c r="AQ31" s="11">
        <f>'Compare w prev'!AJ31</f>
        <v>80.555555555555557</v>
      </c>
      <c r="AR31" s="11"/>
      <c r="AS31" s="11">
        <f>'Compare w prev'!AO31</f>
        <v>88.888888888888886</v>
      </c>
      <c r="AT31" s="31"/>
    </row>
    <row r="32" spans="1:46">
      <c r="A32" s="29" t="s">
        <v>15</v>
      </c>
      <c r="B32" s="11"/>
      <c r="C32" s="11">
        <f>'Compare w prev'!C32</f>
        <v>97.712978845054323</v>
      </c>
      <c r="D32" s="11">
        <f>'Compare w prev'!D32</f>
        <v>97.341337907375646</v>
      </c>
      <c r="E32" s="11">
        <f>'Compare w prev'!E32</f>
        <v>98.227558604917093</v>
      </c>
      <c r="F32" s="11">
        <f>'Compare w prev'!F32</f>
        <v>99.55688965122927</v>
      </c>
      <c r="G32" s="11">
        <f>'Compare w prev'!G32</f>
        <v>97.65580331618068</v>
      </c>
      <c r="H32" s="11">
        <f>'Compare w prev'!H32</f>
        <v>96.801029159519729</v>
      </c>
      <c r="I32" s="11">
        <f>'Compare w prev'!I32</f>
        <v>97.85591766723843</v>
      </c>
      <c r="J32" s="11">
        <f>'Compare w prev'!J32</f>
        <v>96.801029159519729</v>
      </c>
      <c r="K32" s="11">
        <f>'Compare w prev'!K32</f>
        <v>97.284162378502003</v>
      </c>
      <c r="L32" s="11">
        <f>'Compare w prev'!AP32</f>
        <v>99.14236706689536</v>
      </c>
      <c r="M32" s="11">
        <f>'Compare w prev'!AQ32</f>
        <v>99.342481417953124</v>
      </c>
      <c r="N32" s="11">
        <f>'Compare w prev'!AR32</f>
        <v>98.542024013722127</v>
      </c>
      <c r="O32" s="11">
        <f>'Compare w prev'!AS32</f>
        <v>98.513436249285306</v>
      </c>
      <c r="P32" s="11"/>
      <c r="Q32" s="11">
        <f>'Compare w prev'!S32</f>
        <v>98.190394511149222</v>
      </c>
      <c r="R32" s="11">
        <f>'Compare w prev'!T32</f>
        <v>98.913664951400804</v>
      </c>
      <c r="S32" s="11"/>
      <c r="T32" s="11"/>
      <c r="U32" s="11">
        <f>'Compare w prev'!W32</f>
        <v>98.513436249285306</v>
      </c>
      <c r="V32" s="11">
        <f>'Compare w prev'!X32</f>
        <v>98.939393939393938</v>
      </c>
      <c r="W32" s="11"/>
      <c r="X32" s="11">
        <f>'Compare w prev'!Z32</f>
        <v>99.028016009148089</v>
      </c>
      <c r="Y32" s="11"/>
      <c r="Z32" s="11">
        <f>'Compare w prev'!AB32</f>
        <v>98.59919954259577</v>
      </c>
      <c r="AA32" s="11"/>
      <c r="AB32" s="11">
        <f>'Compare w prev'!AL32</f>
        <v>97.741566609491144</v>
      </c>
      <c r="AC32" s="11">
        <f>'Compare w prev'!AM32</f>
        <v>98.513436249285306</v>
      </c>
      <c r="AD32" s="30">
        <f>'Compare w prev'!L32</f>
        <v>92.938822184105206</v>
      </c>
      <c r="AE32" s="30">
        <f>'Compare w prev'!M32</f>
        <v>92.481417953116065</v>
      </c>
      <c r="AF32" s="11"/>
      <c r="AG32" s="30">
        <f>'Compare w prev'!O32</f>
        <v>96.99828473413379</v>
      </c>
      <c r="AH32" s="11"/>
      <c r="AI32" s="30">
        <f>'Compare w prev'!Q32</f>
        <v>46.941109205260148</v>
      </c>
      <c r="AJ32" s="11"/>
      <c r="AK32" s="11">
        <f>'Compare w prev'!AD32</f>
        <v>98.59919954259577</v>
      </c>
      <c r="AL32" s="11"/>
      <c r="AM32" s="11">
        <f>'Compare w prev'!AF32</f>
        <v>98.542024013722127</v>
      </c>
      <c r="AN32" s="11">
        <f>'Compare w prev'!AG32</f>
        <v>93.650657518582051</v>
      </c>
      <c r="AO32" s="11">
        <f>'Compare w prev'!AH32</f>
        <v>98.513436249285306</v>
      </c>
      <c r="AP32" s="11">
        <f>'Compare w prev'!AI32</f>
        <v>99.230989136649512</v>
      </c>
      <c r="AQ32" s="11">
        <f>'Compare w prev'!AJ32</f>
        <v>98.484848484848484</v>
      </c>
      <c r="AR32" s="11"/>
      <c r="AS32" s="11">
        <f>'Compare w prev'!AO32</f>
        <v>98.427672955974842</v>
      </c>
      <c r="AT32" s="31"/>
    </row>
    <row r="33" spans="1:46">
      <c r="A33" s="29" t="s">
        <v>16</v>
      </c>
      <c r="B33" s="11"/>
      <c r="C33" s="11">
        <f>'Compare w prev'!C33</f>
        <v>15.120787354607815</v>
      </c>
      <c r="D33" s="11">
        <f>'Compare w prev'!D33</f>
        <v>17.599164926931106</v>
      </c>
      <c r="E33" s="11">
        <f>'Compare w prev'!E33</f>
        <v>27.82582761705935</v>
      </c>
      <c r="F33" s="11">
        <f>'Compare w prev'!F33</f>
        <v>29.427378467044441</v>
      </c>
      <c r="G33" s="11">
        <f>'Compare w prev'!G33</f>
        <v>33.015210259469129</v>
      </c>
      <c r="H33" s="11">
        <f>'Compare w prev'!H33</f>
        <v>32.400835073068897</v>
      </c>
      <c r="I33" s="11">
        <f>'Compare w prev'!I33</f>
        <v>33.16433045034298</v>
      </c>
      <c r="J33" s="11">
        <f>'Compare w prev'!J33</f>
        <v>35.401133313450636</v>
      </c>
      <c r="K33" s="11">
        <f>'Compare w prev'!K33</f>
        <v>33.641515061139273</v>
      </c>
      <c r="L33" s="11">
        <f>'Compare w prev'!AP33</f>
        <v>32.1801371905756</v>
      </c>
      <c r="M33" s="11">
        <f>'Compare w prev'!AQ33</f>
        <v>33.074858335818668</v>
      </c>
      <c r="N33" s="11">
        <f>'Compare w prev'!AR33</f>
        <v>24.658514762898896</v>
      </c>
      <c r="O33" s="11">
        <f>'Compare w prev'!AS33</f>
        <v>23.799582463465555</v>
      </c>
      <c r="P33" s="11"/>
      <c r="Q33" s="11">
        <f>'Compare w prev'!S33</f>
        <v>18.240381747688637</v>
      </c>
      <c r="R33" s="11">
        <f>'Compare w prev'!T33</f>
        <v>14.524306591112438</v>
      </c>
      <c r="S33" s="11"/>
      <c r="T33" s="11"/>
      <c r="U33" s="11">
        <f>'Compare w prev'!W33</f>
        <v>13.748881598568447</v>
      </c>
      <c r="V33" s="11">
        <f>'Compare w prev'!X33</f>
        <v>17.751267521622431</v>
      </c>
      <c r="W33" s="11"/>
      <c r="X33" s="11">
        <f>'Compare w prev'!Z33</f>
        <v>4.9209662988368628</v>
      </c>
      <c r="Y33" s="11"/>
      <c r="Z33" s="11">
        <f>'Compare w prev'!AB33</f>
        <v>15.508499850879808</v>
      </c>
      <c r="AA33" s="11"/>
      <c r="AB33" s="11">
        <f>'Compare w prev'!AL33</f>
        <v>3.0122278556516555</v>
      </c>
      <c r="AC33" s="11">
        <f>'Compare w prev'!AM33</f>
        <v>13.122576796898301</v>
      </c>
      <c r="AD33" s="30">
        <f>'Compare w prev'!L33</f>
        <v>7.1011034894124663</v>
      </c>
      <c r="AE33" s="30">
        <f>'Compare w prev'!M33</f>
        <v>6.6507605129734566</v>
      </c>
      <c r="AF33" s="11"/>
      <c r="AG33" s="30">
        <f>'Compare w prev'!O33</f>
        <v>16.224276767074262</v>
      </c>
      <c r="AH33" s="11"/>
      <c r="AI33" s="30">
        <f>'Compare w prev'!Q33</f>
        <v>5.4279749478079333</v>
      </c>
      <c r="AJ33" s="11"/>
      <c r="AK33" s="11">
        <f>'Compare w prev'!AD33</f>
        <v>11.691022964509393</v>
      </c>
      <c r="AL33" s="11"/>
      <c r="AM33" s="11">
        <f>'Compare w prev'!AF33</f>
        <v>14.315538323889054</v>
      </c>
      <c r="AN33" s="11">
        <f>'Compare w prev'!AG33</f>
        <v>7.5514464658514759</v>
      </c>
      <c r="AO33" s="11">
        <f>'Compare w prev'!AH33</f>
        <v>14.255890247539515</v>
      </c>
      <c r="AP33" s="11">
        <f>'Compare w prev'!AI33</f>
        <v>11.691022964509393</v>
      </c>
      <c r="AQ33" s="11">
        <f>'Compare w prev'!AJ33</f>
        <v>15.090963316433045</v>
      </c>
      <c r="AR33" s="11"/>
      <c r="AS33" s="11">
        <f>'Compare w prev'!AO33</f>
        <v>11.541902773635551</v>
      </c>
      <c r="AT33" s="31"/>
    </row>
    <row r="34" spans="1:46">
      <c r="A34" s="29" t="s">
        <v>17</v>
      </c>
      <c r="B34" s="11"/>
      <c r="C34" s="11">
        <f>'Compare w prev'!C34</f>
        <v>80.26315789473685</v>
      </c>
      <c r="D34" s="11">
        <f>'Compare w prev'!D34</f>
        <v>86.18421052631578</v>
      </c>
      <c r="E34" s="11">
        <f>'Compare w prev'!E34</f>
        <v>90.789473684210535</v>
      </c>
      <c r="F34" s="11">
        <f>'Compare w prev'!F34</f>
        <v>93.026315789473685</v>
      </c>
      <c r="G34" s="11">
        <f>'Compare w prev'!G34</f>
        <v>90.131578947368425</v>
      </c>
      <c r="H34" s="11">
        <f>'Compare w prev'!H34</f>
        <v>91.381578947368425</v>
      </c>
      <c r="I34" s="11">
        <f>'Compare w prev'!I34</f>
        <v>91.44736842105263</v>
      </c>
      <c r="J34" s="11">
        <f>'Compare w prev'!J34</f>
        <v>90.789473684210535</v>
      </c>
      <c r="K34" s="11">
        <f>'Compare w prev'!K34</f>
        <v>90.131578947368425</v>
      </c>
      <c r="L34" s="11">
        <f>'Compare w prev'!AP34</f>
        <v>90.789473684210535</v>
      </c>
      <c r="M34" s="11">
        <f>'Compare w prev'!AQ34</f>
        <v>91.44736842105263</v>
      </c>
      <c r="N34" s="11">
        <f>'Compare w prev'!AR34</f>
        <v>91.44736842105263</v>
      </c>
      <c r="O34" s="11">
        <f>'Compare w prev'!AS34</f>
        <v>90.789473684210535</v>
      </c>
      <c r="P34" s="11"/>
      <c r="Q34" s="11">
        <f>'Compare w prev'!S34</f>
        <v>82.631578947368425</v>
      </c>
      <c r="R34" s="11">
        <f>'Compare w prev'!T34</f>
        <v>89.473684210526315</v>
      </c>
      <c r="S34" s="11"/>
      <c r="T34" s="11"/>
      <c r="U34" s="11">
        <f>'Compare w prev'!W34</f>
        <v>84.210526315789465</v>
      </c>
      <c r="V34" s="11">
        <f>'Compare w prev'!X34</f>
        <v>90.789473684210535</v>
      </c>
      <c r="W34" s="11"/>
      <c r="X34" s="11">
        <f>'Compare w prev'!Z34</f>
        <v>94.078947368421055</v>
      </c>
      <c r="Y34" s="11"/>
      <c r="Z34" s="11">
        <f>'Compare w prev'!AB34</f>
        <v>91.44736842105263</v>
      </c>
      <c r="AA34" s="11"/>
      <c r="AB34" s="11">
        <f>'Compare w prev'!AL34</f>
        <v>76.973684210526315</v>
      </c>
      <c r="AC34" s="11">
        <f>'Compare w prev'!AM34</f>
        <v>86.842105263157904</v>
      </c>
      <c r="AD34" s="30">
        <f>'Compare w prev'!L34</f>
        <v>78.94736842105263</v>
      </c>
      <c r="AE34" s="30">
        <f>'Compare w prev'!M34</f>
        <v>78.94736842105263</v>
      </c>
      <c r="AF34" s="11"/>
      <c r="AG34" s="30">
        <f>'Compare w prev'!O34</f>
        <v>81.578947368421055</v>
      </c>
      <c r="AH34" s="11"/>
      <c r="AI34" s="30">
        <f>'Compare w prev'!Q34</f>
        <v>86.842105263157904</v>
      </c>
      <c r="AJ34" s="11"/>
      <c r="AK34" s="11">
        <f>'Compare w prev'!AD34</f>
        <v>84.868421052631575</v>
      </c>
      <c r="AL34" s="11"/>
      <c r="AM34" s="11">
        <f>'Compare w prev'!AF34</f>
        <v>85.526315789473685</v>
      </c>
      <c r="AN34" s="11">
        <f>'Compare w prev'!AG34</f>
        <v>81.578947368421055</v>
      </c>
      <c r="AO34" s="11">
        <f>'Compare w prev'!AH34</f>
        <v>87.5</v>
      </c>
      <c r="AP34" s="11">
        <f>'Compare w prev'!AI34</f>
        <v>84.210526315789465</v>
      </c>
      <c r="AQ34" s="11">
        <f>'Compare w prev'!AJ34</f>
        <v>85.526315789473685</v>
      </c>
      <c r="AR34" s="11"/>
      <c r="AS34" s="11">
        <f>'Compare w prev'!AO34</f>
        <v>81.578947368421055</v>
      </c>
      <c r="AT34" s="31"/>
    </row>
    <row r="35" spans="1:46">
      <c r="A35" s="29" t="s">
        <v>18</v>
      </c>
      <c r="B35" s="11"/>
      <c r="C35" s="11">
        <f>'Compare w prev'!C35</f>
        <v>20</v>
      </c>
      <c r="D35" s="11">
        <f>'Compare w prev'!D35</f>
        <v>46.666666666666664</v>
      </c>
      <c r="E35" s="11">
        <f>'Compare w prev'!E35</f>
        <v>46.666666666666664</v>
      </c>
      <c r="F35" s="11">
        <f>'Compare w prev'!F35</f>
        <v>44</v>
      </c>
      <c r="G35" s="11">
        <f>'Compare w prev'!G35</f>
        <v>40</v>
      </c>
      <c r="H35" s="11">
        <f>'Compare w prev'!H35</f>
        <v>40</v>
      </c>
      <c r="I35" s="11">
        <f>'Compare w prev'!I35</f>
        <v>40</v>
      </c>
      <c r="J35" s="11">
        <f>'Compare w prev'!J35</f>
        <v>60</v>
      </c>
      <c r="K35" s="11">
        <f>'Compare w prev'!K35</f>
        <v>66.666666666666657</v>
      </c>
      <c r="L35" s="11">
        <f>'Compare w prev'!AP35</f>
        <v>53.333333333333336</v>
      </c>
      <c r="M35" s="11">
        <f>'Compare w prev'!AQ35</f>
        <v>60</v>
      </c>
      <c r="N35" s="11">
        <f>'Compare w prev'!AR35</f>
        <v>73.333333333333329</v>
      </c>
      <c r="O35" s="11">
        <f>'Compare w prev'!AS35</f>
        <v>73.333333333333329</v>
      </c>
      <c r="P35" s="11"/>
      <c r="Q35" s="11">
        <f>'Compare w prev'!S35</f>
        <v>53.333333333333336</v>
      </c>
      <c r="R35" s="11">
        <f>'Compare w prev'!T35</f>
        <v>66.666666666666657</v>
      </c>
      <c r="S35" s="11"/>
      <c r="T35" s="11"/>
      <c r="U35" s="11">
        <f>'Compare w prev'!W35</f>
        <v>80</v>
      </c>
      <c r="V35" s="11">
        <f>'Compare w prev'!X35</f>
        <v>46.666666666666664</v>
      </c>
      <c r="W35" s="11"/>
      <c r="X35" s="11">
        <f>'Compare w prev'!Z35</f>
        <v>73.333333333333329</v>
      </c>
      <c r="Y35" s="11"/>
      <c r="Z35" s="11">
        <f>'Compare w prev'!AB35</f>
        <v>73.333333333333329</v>
      </c>
      <c r="AA35" s="11"/>
      <c r="AB35" s="11">
        <f>'Compare w prev'!AL35</f>
        <v>33.333333333333329</v>
      </c>
      <c r="AC35" s="11">
        <f>'Compare w prev'!AM35</f>
        <v>73.333333333333329</v>
      </c>
      <c r="AD35" s="30">
        <f>'Compare w prev'!L35</f>
        <v>60</v>
      </c>
      <c r="AE35" s="30">
        <f>'Compare w prev'!M35</f>
        <v>53.333333333333336</v>
      </c>
      <c r="AF35" s="11"/>
      <c r="AG35" s="30">
        <f>'Compare w prev'!O35</f>
        <v>73.333333333333329</v>
      </c>
      <c r="AH35" s="11"/>
      <c r="AI35" s="30">
        <f>'Compare w prev'!Q35</f>
        <v>66.666666666666657</v>
      </c>
      <c r="AJ35" s="11"/>
      <c r="AK35" s="11">
        <f>'Compare w prev'!AD35</f>
        <v>66.666666666666657</v>
      </c>
      <c r="AL35" s="11"/>
      <c r="AM35" s="11">
        <f>'Compare w prev'!AF35</f>
        <v>66.666666666666657</v>
      </c>
      <c r="AN35" s="11">
        <f>'Compare w prev'!AG35</f>
        <v>53.333333333333336</v>
      </c>
      <c r="AO35" s="11">
        <f>'Compare w prev'!AH35</f>
        <v>80</v>
      </c>
      <c r="AP35" s="11">
        <f>'Compare w prev'!AI35</f>
        <v>60</v>
      </c>
      <c r="AQ35" s="11">
        <f>'Compare w prev'!AJ35</f>
        <v>86.666666666666671</v>
      </c>
      <c r="AR35" s="11"/>
      <c r="AS35" s="11">
        <f>'Compare w prev'!AO35</f>
        <v>73.333333333333329</v>
      </c>
      <c r="AT35" s="31"/>
    </row>
    <row r="36" spans="1:46">
      <c r="A36" s="29" t="s">
        <v>69</v>
      </c>
      <c r="B36" s="19">
        <f>'Compare w prev'!B36</f>
        <v>8</v>
      </c>
      <c r="C36" s="19"/>
      <c r="D36" s="19">
        <f>'Compare w prev'!D36</f>
        <v>23</v>
      </c>
      <c r="E36" s="19"/>
      <c r="F36" s="19">
        <f>'Compare w prev'!F36</f>
        <v>15</v>
      </c>
      <c r="G36" s="19"/>
      <c r="H36" s="19">
        <f>'Compare w prev'!H36</f>
        <v>28</v>
      </c>
      <c r="I36" s="19"/>
      <c r="J36" s="19">
        <f>'Compare w prev'!J36</f>
        <v>21</v>
      </c>
      <c r="K36" s="19">
        <f>'Compare w prev'!K36</f>
        <v>0</v>
      </c>
      <c r="L36" s="19">
        <f>'Compare w prev'!AP36</f>
        <v>18</v>
      </c>
      <c r="M36" s="19"/>
      <c r="N36" s="19">
        <f>'Compare w prev'!AR36</f>
        <v>17</v>
      </c>
      <c r="O36" s="19"/>
      <c r="P36" s="19">
        <f>'Compare w prev'!R36</f>
        <v>8</v>
      </c>
      <c r="Q36" s="19">
        <f>'Compare w prev'!S36</f>
        <v>27</v>
      </c>
      <c r="R36" s="19"/>
      <c r="S36" s="19">
        <f>'Compare w prev'!U36</f>
        <v>4</v>
      </c>
      <c r="T36" s="19">
        <f>'Compare w prev'!V36</f>
        <v>8</v>
      </c>
      <c r="U36" s="19"/>
      <c r="V36" s="19">
        <f>'Compare w prev'!X36</f>
        <v>19</v>
      </c>
      <c r="W36" s="19">
        <f>'Compare w prev'!Y36</f>
        <v>3</v>
      </c>
      <c r="X36" s="19"/>
      <c r="Y36" s="19">
        <f>'Compare w prev'!AA36</f>
        <v>4</v>
      </c>
      <c r="Z36" s="19"/>
      <c r="AA36" s="19">
        <f>'Compare w prev'!AK36</f>
        <v>6</v>
      </c>
      <c r="AB36" s="19">
        <f>'Compare w prev'!AL36</f>
        <v>29</v>
      </c>
      <c r="AC36" s="19"/>
      <c r="AD36" s="32">
        <f>'Compare w prev'!L36</f>
        <v>21</v>
      </c>
      <c r="AE36" s="32"/>
      <c r="AF36" s="32">
        <f>'Compare w prev'!N36</f>
        <v>7</v>
      </c>
      <c r="AG36" s="32"/>
      <c r="AH36" s="32">
        <f>'Compare w prev'!P36</f>
        <v>6</v>
      </c>
      <c r="AI36" s="32"/>
      <c r="AJ36" s="19">
        <f>'Compare w prev'!AC36</f>
        <v>6</v>
      </c>
      <c r="AK36" s="19"/>
      <c r="AL36" s="19">
        <f>'Compare w prev'!AE36</f>
        <v>9</v>
      </c>
      <c r="AM36" s="19"/>
      <c r="AN36" s="19">
        <f>'Compare w prev'!AG36</f>
        <v>28</v>
      </c>
      <c r="AO36" s="19"/>
      <c r="AP36" s="19">
        <f>'Compare w prev'!AI36</f>
        <v>18</v>
      </c>
      <c r="AQ36" s="19"/>
      <c r="AR36" s="19">
        <f>'Compare w prev'!AN36</f>
        <v>10</v>
      </c>
      <c r="AS36" s="19"/>
      <c r="AT36" s="31"/>
    </row>
    <row r="37" spans="1:46">
      <c r="A37" s="29" t="s">
        <v>70</v>
      </c>
      <c r="B37" s="24">
        <f>'Compare w prev'!B37</f>
        <v>6</v>
      </c>
      <c r="C37" s="19"/>
      <c r="D37" s="24">
        <f>'Compare w prev'!D37</f>
        <v>12</v>
      </c>
      <c r="E37" s="19"/>
      <c r="F37" s="24">
        <f>'Compare w prev'!F37</f>
        <v>12</v>
      </c>
      <c r="G37" s="19"/>
      <c r="H37" s="24">
        <f>'Compare w prev'!H37</f>
        <v>10</v>
      </c>
      <c r="I37" s="19"/>
      <c r="J37" s="24">
        <f>'Compare w prev'!J37</f>
        <v>15</v>
      </c>
      <c r="K37" s="19">
        <f>'Compare w prev'!K37</f>
        <v>0</v>
      </c>
      <c r="L37" s="24">
        <f>'Compare w prev'!AP37</f>
        <v>17</v>
      </c>
      <c r="M37" s="19"/>
      <c r="N37" s="24">
        <f>'Compare w prev'!AR37</f>
        <v>16</v>
      </c>
      <c r="O37" s="19"/>
      <c r="P37" s="24">
        <f>'Compare w prev'!R37</f>
        <v>2</v>
      </c>
      <c r="Q37" s="24">
        <f>'Compare w prev'!S37</f>
        <v>4</v>
      </c>
      <c r="R37" s="19"/>
      <c r="S37" s="24">
        <f>'Compare w prev'!U37</f>
        <v>6</v>
      </c>
      <c r="T37" s="24">
        <f>'Compare w prev'!V37</f>
        <v>2</v>
      </c>
      <c r="U37" s="19"/>
      <c r="V37" s="24">
        <f>'Compare w prev'!X37</f>
        <v>8</v>
      </c>
      <c r="W37" s="24">
        <f>'Compare w prev'!Y37</f>
        <v>1</v>
      </c>
      <c r="X37" s="19"/>
      <c r="Y37" s="24">
        <f>'Compare w prev'!AA37</f>
        <v>6</v>
      </c>
      <c r="Z37" s="19"/>
      <c r="AA37" s="24">
        <f>'Compare w prev'!AK37</f>
        <v>4</v>
      </c>
      <c r="AB37" s="24">
        <f>'Compare w prev'!AL37</f>
        <v>2</v>
      </c>
      <c r="AC37" s="19"/>
      <c r="AD37" s="32">
        <f>'Compare w prev'!L37</f>
        <v>11</v>
      </c>
      <c r="AE37" s="32"/>
      <c r="AF37" s="32">
        <f>'Compare w prev'!N37</f>
        <v>3</v>
      </c>
      <c r="AG37" s="32"/>
      <c r="AH37" s="32">
        <f>'Compare w prev'!P37</f>
        <v>4</v>
      </c>
      <c r="AI37" s="32"/>
      <c r="AJ37" s="24">
        <f>'Compare w prev'!AC37</f>
        <v>4</v>
      </c>
      <c r="AK37" s="19"/>
      <c r="AL37" s="24">
        <f>'Compare w prev'!AE37</f>
        <v>1</v>
      </c>
      <c r="AM37" s="19"/>
      <c r="AN37" s="24">
        <f>'Compare w prev'!AG37</f>
        <v>3</v>
      </c>
      <c r="AO37" s="19"/>
      <c r="AP37" s="24">
        <f>'Compare w prev'!AI37</f>
        <v>12</v>
      </c>
      <c r="AQ37" s="19"/>
      <c r="AR37" s="24">
        <f>'Compare w prev'!AN37</f>
        <v>0</v>
      </c>
      <c r="AS37" s="19"/>
      <c r="AT37" s="31"/>
    </row>
    <row r="38" spans="1:46">
      <c r="A38" s="29" t="s">
        <v>67</v>
      </c>
      <c r="B38" s="23">
        <f>'Compare w prev'!B38</f>
        <v>3.3852693564008645</v>
      </c>
      <c r="C38" s="11"/>
      <c r="D38" s="11">
        <f>'Compare w prev'!D38</f>
        <v>2.0559779372293012</v>
      </c>
      <c r="E38" s="11"/>
      <c r="F38" s="11">
        <f>'Compare w prev'!F38</f>
        <v>0.22388484433037201</v>
      </c>
      <c r="G38" s="11"/>
      <c r="H38" s="11">
        <f>'Compare w prev'!H38</f>
        <v>3.3201415835326999</v>
      </c>
      <c r="I38" s="11"/>
      <c r="J38" s="11">
        <f>'Compare w prev'!J38</f>
        <v>0.74673128359426244</v>
      </c>
      <c r="K38" s="11">
        <f>'Compare w prev'!K38</f>
        <v>0</v>
      </c>
      <c r="L38" s="11">
        <f>'Compare w prev'!AP38</f>
        <v>0.27815926554879894</v>
      </c>
      <c r="M38" s="11"/>
      <c r="N38" s="11">
        <f>'Compare w prev'!AR38</f>
        <v>8.0194679186647494E-2</v>
      </c>
      <c r="O38" s="11"/>
      <c r="P38" s="11">
        <f>'Compare w prev'!R38</f>
        <v>1.5928076948715195</v>
      </c>
      <c r="Q38" s="11">
        <f>'Compare w prev'!S38</f>
        <v>9.0140008244849277</v>
      </c>
      <c r="R38" s="11"/>
      <c r="S38" s="11">
        <f>'Compare w prev'!U38</f>
        <v>-0.76051065043168431</v>
      </c>
      <c r="T38" s="11">
        <f>'Compare w prev'!V38</f>
        <v>0.83530566895171465</v>
      </c>
      <c r="U38" s="11"/>
      <c r="V38" s="11">
        <f>'Compare w prev'!X38</f>
        <v>2.1605734007506205</v>
      </c>
      <c r="W38" s="11">
        <f>'Compare w prev'!Y38</f>
        <v>21.330071752417542</v>
      </c>
      <c r="X38" s="11"/>
      <c r="Y38" s="11">
        <f>'Compare w prev'!AA38</f>
        <v>-0.3408448465844181</v>
      </c>
      <c r="Z38" s="11"/>
      <c r="AA38" s="11">
        <f>'Compare w prev'!AK38</f>
        <v>0.32950804462284111</v>
      </c>
      <c r="AB38" s="11">
        <f>'Compare w prev'!AL38</f>
        <v>15.616999779132721</v>
      </c>
      <c r="AC38" s="11"/>
      <c r="AD38" s="30">
        <f>'Compare w prev'!L38</f>
        <v>1.2373937619595496</v>
      </c>
      <c r="AE38" s="30"/>
      <c r="AF38" s="30">
        <f>'Compare w prev'!N38</f>
        <v>2.3383544402236316</v>
      </c>
      <c r="AG38" s="30"/>
      <c r="AH38" s="30">
        <f>'Compare w prev'!P38</f>
        <v>-1.2983725978028313</v>
      </c>
      <c r="AI38" s="30"/>
      <c r="AJ38" s="11">
        <f>'Compare w prev'!AC38</f>
        <v>0.87918585641926972</v>
      </c>
      <c r="AK38" s="11"/>
      <c r="AL38" s="11">
        <f>'Compare w prev'!AE38</f>
        <v>3.3053989979752827</v>
      </c>
      <c r="AM38" s="11"/>
      <c r="AN38" s="11">
        <f>'Compare w prev'!AG38</f>
        <v>9.0104482746917789</v>
      </c>
      <c r="AO38" s="11"/>
      <c r="AP38" s="11">
        <f>'Compare w prev'!AI38</f>
        <v>5.2617218947908917</v>
      </c>
      <c r="AQ38" s="11"/>
      <c r="AR38" s="11">
        <f>'Compare w prev'!AN38</f>
        <v>3.5979594858559096</v>
      </c>
      <c r="AS38" s="11"/>
      <c r="AT38" s="33"/>
    </row>
    <row r="39" spans="1:46">
      <c r="A39" s="29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5"/>
    </row>
    <row r="40" spans="1:46"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spans="1:46"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</row>
    <row r="42" spans="1:46"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</row>
    <row r="43" spans="1:46"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spans="1:46"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7" spans="1:46">
      <c r="AD47" s="30"/>
      <c r="AE47" s="30"/>
      <c r="AF47" s="30"/>
      <c r="AG47" s="30"/>
      <c r="AH47" s="30"/>
      <c r="AI47" s="30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6">
      <c r="AD48" s="30"/>
      <c r="AE48" s="30"/>
      <c r="AF48" s="30"/>
      <c r="AG48" s="30"/>
      <c r="AH48" s="30"/>
      <c r="AI48" s="30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>
      <c r="AD49" s="30"/>
      <c r="AE49" s="30"/>
      <c r="AF49" s="30"/>
      <c r="AG49" s="30"/>
      <c r="AH49" s="30"/>
      <c r="AI49" s="30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>
      <c r="A50" s="29"/>
      <c r="B50" s="29"/>
      <c r="AD50" s="30"/>
      <c r="AE50" s="30"/>
      <c r="AF50" s="30"/>
      <c r="AG50" s="30"/>
      <c r="AH50" s="30"/>
      <c r="AI50" s="30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 spans="1:45">
      <c r="A51" s="29"/>
      <c r="B51" s="29"/>
      <c r="AD51" s="30"/>
      <c r="AE51" s="30"/>
      <c r="AF51" s="30"/>
      <c r="AG51" s="30"/>
      <c r="AH51" s="30"/>
      <c r="AI51" s="30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>
      <c r="A52" s="29"/>
      <c r="B52" s="29"/>
      <c r="AD52" s="30"/>
      <c r="AE52" s="30"/>
      <c r="AF52" s="30"/>
      <c r="AG52" s="30"/>
      <c r="AH52" s="30"/>
      <c r="AI52" s="30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 spans="1:45">
      <c r="A53" s="29"/>
      <c r="B53" s="29"/>
      <c r="AD53" s="30"/>
      <c r="AE53" s="30"/>
      <c r="AF53" s="30"/>
      <c r="AG53" s="30"/>
      <c r="AH53" s="30"/>
      <c r="AI53" s="30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 spans="1:45">
      <c r="A54" s="29"/>
      <c r="B54" s="29"/>
      <c r="AD54" s="30"/>
      <c r="AE54" s="30"/>
      <c r="AF54" s="30"/>
      <c r="AG54" s="30"/>
      <c r="AH54" s="30"/>
      <c r="AI54" s="30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>
      <c r="A55" s="29"/>
      <c r="B55" s="29"/>
      <c r="AD55" s="30"/>
      <c r="AE55" s="30"/>
      <c r="AF55" s="30"/>
      <c r="AG55" s="30"/>
      <c r="AH55" s="30"/>
      <c r="AI55" s="30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spans="1:45">
      <c r="A56" s="29"/>
      <c r="B56" s="29"/>
      <c r="AD56" s="30"/>
      <c r="AE56" s="30"/>
      <c r="AF56" s="30"/>
      <c r="AG56" s="30"/>
      <c r="AH56" s="30"/>
      <c r="AI56" s="30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>
      <c r="A57" s="29"/>
      <c r="B57" s="29"/>
      <c r="AD57" s="30"/>
      <c r="AE57" s="30"/>
      <c r="AF57" s="11"/>
      <c r="AG57" s="30"/>
      <c r="AH57" s="11"/>
      <c r="AI57" s="30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:45">
      <c r="A58" s="29"/>
      <c r="B58" s="29"/>
      <c r="AD58" s="30"/>
      <c r="AE58" s="30"/>
      <c r="AF58" s="11"/>
      <c r="AG58" s="30"/>
      <c r="AH58" s="11"/>
      <c r="AI58" s="30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 spans="1:45">
      <c r="A59" s="29"/>
      <c r="B59" s="29"/>
      <c r="AD59" s="30"/>
      <c r="AE59" s="30"/>
      <c r="AF59" s="11"/>
      <c r="AG59" s="30"/>
      <c r="AH59" s="11"/>
      <c r="AI59" s="30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 spans="1:45">
      <c r="A60" s="29"/>
      <c r="B60" s="29"/>
      <c r="AD60" s="30"/>
      <c r="AE60" s="30"/>
      <c r="AF60" s="11"/>
      <c r="AG60" s="30"/>
      <c r="AH60" s="11"/>
      <c r="AI60" s="30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45">
      <c r="A61" s="29"/>
      <c r="B61" s="29"/>
      <c r="AD61" s="30"/>
      <c r="AE61" s="30"/>
      <c r="AF61" s="11"/>
      <c r="AG61" s="30"/>
      <c r="AH61" s="11"/>
      <c r="AI61" s="30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>
      <c r="A62" s="29"/>
      <c r="B62" s="29"/>
      <c r="AD62" s="30"/>
      <c r="AE62" s="30"/>
      <c r="AF62" s="11"/>
      <c r="AG62" s="30"/>
      <c r="AH62" s="11"/>
      <c r="AI62" s="30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 spans="1:45">
      <c r="A63" s="29"/>
      <c r="B63" s="29"/>
      <c r="AD63" s="30"/>
      <c r="AE63" s="30"/>
      <c r="AF63" s="11"/>
      <c r="AG63" s="30"/>
      <c r="AH63" s="11"/>
      <c r="AI63" s="30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 spans="1:45">
      <c r="A64" s="29"/>
      <c r="B64" s="29"/>
      <c r="AD64" s="30"/>
      <c r="AE64" s="30"/>
      <c r="AF64" s="11"/>
      <c r="AG64" s="30"/>
      <c r="AH64" s="11"/>
      <c r="AI64" s="30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 spans="1:45">
      <c r="A65" s="29"/>
      <c r="B65" s="29"/>
      <c r="AD65" s="30"/>
      <c r="AE65" s="30"/>
      <c r="AF65" s="11"/>
      <c r="AG65" s="30"/>
      <c r="AH65" s="11"/>
      <c r="AI65" s="30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 spans="1:45">
      <c r="A66" s="29"/>
      <c r="B66" s="29"/>
      <c r="AD66" s="30"/>
      <c r="AE66" s="30"/>
      <c r="AF66" s="11"/>
      <c r="AG66" s="30"/>
      <c r="AH66" s="11"/>
      <c r="AI66" s="30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 spans="1:45">
      <c r="A67" s="29"/>
      <c r="B67" s="29"/>
      <c r="AD67" s="30"/>
      <c r="AE67" s="30"/>
      <c r="AF67" s="11"/>
      <c r="AG67" s="30"/>
      <c r="AH67" s="11"/>
      <c r="AI67" s="30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 spans="1:45">
      <c r="A68" s="29"/>
      <c r="B68" s="29"/>
      <c r="AD68" s="30"/>
      <c r="AE68" s="30"/>
      <c r="AF68" s="11"/>
      <c r="AG68" s="30"/>
      <c r="AH68" s="11"/>
      <c r="AI68" s="30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 spans="1:45">
      <c r="A69" s="29"/>
      <c r="B69" s="29"/>
      <c r="AD69" s="30"/>
      <c r="AE69" s="30"/>
      <c r="AF69" s="11"/>
      <c r="AG69" s="30"/>
      <c r="AH69" s="11"/>
      <c r="AI69" s="30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 spans="1:45">
      <c r="A70" s="29"/>
      <c r="B70" s="29"/>
      <c r="AD70" s="30"/>
      <c r="AE70" s="30"/>
      <c r="AF70" s="11"/>
      <c r="AG70" s="30"/>
      <c r="AH70" s="11"/>
      <c r="AI70" s="30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pans="1:45">
      <c r="A71" s="29"/>
      <c r="B71" s="29"/>
      <c r="AD71" s="30"/>
      <c r="AE71" s="30"/>
      <c r="AF71" s="11"/>
      <c r="AG71" s="30"/>
      <c r="AH71" s="11"/>
      <c r="AI71" s="30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 spans="1:45">
      <c r="A72" s="29"/>
      <c r="B72" s="29"/>
      <c r="AD72" s="30"/>
      <c r="AE72" s="30"/>
      <c r="AF72" s="11"/>
      <c r="AG72" s="30"/>
      <c r="AH72" s="11"/>
      <c r="AI72" s="30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>
      <c r="A73" s="29"/>
      <c r="B73" s="29"/>
      <c r="AD73" s="30"/>
      <c r="AE73" s="30"/>
      <c r="AF73" s="11"/>
      <c r="AG73" s="30"/>
      <c r="AH73" s="11"/>
      <c r="AI73" s="30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 spans="1:45">
      <c r="A74" s="29"/>
      <c r="B74" s="29"/>
      <c r="AD74" s="30"/>
      <c r="AE74" s="30"/>
      <c r="AF74" s="11"/>
      <c r="AG74" s="30"/>
      <c r="AH74" s="11"/>
      <c r="AI74" s="30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 spans="1:45">
      <c r="A75" s="29"/>
      <c r="B75" s="29"/>
      <c r="AD75" s="30"/>
      <c r="AE75" s="30"/>
      <c r="AF75" s="11"/>
      <c r="AG75" s="30"/>
      <c r="AH75" s="11"/>
      <c r="AI75" s="30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>
      <c r="A76" s="29"/>
      <c r="B76" s="29"/>
      <c r="AD76" s="30"/>
      <c r="AE76" s="30"/>
      <c r="AF76" s="11"/>
      <c r="AG76" s="30"/>
      <c r="AH76" s="11"/>
      <c r="AI76" s="30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 spans="1:45">
      <c r="A77" s="29"/>
      <c r="B77" s="29"/>
    </row>
    <row r="78" spans="1:45">
      <c r="A78" s="29"/>
      <c r="B78" s="29"/>
    </row>
    <row r="79" spans="1:45">
      <c r="A79" s="29"/>
      <c r="B79" s="29"/>
    </row>
    <row r="80" spans="1:45">
      <c r="A80" s="29"/>
      <c r="B80" s="29"/>
    </row>
    <row r="81" spans="1:2">
      <c r="A81" s="29"/>
      <c r="B81" s="29"/>
    </row>
    <row r="82" spans="1:2">
      <c r="A82" s="29"/>
      <c r="B82" s="29"/>
    </row>
    <row r="83" spans="1:2">
      <c r="A83" s="29"/>
      <c r="B83" s="29"/>
    </row>
    <row r="84" spans="1:2">
      <c r="A84" s="29"/>
      <c r="B84" s="29"/>
    </row>
    <row r="85" spans="1:2">
      <c r="A85" s="29"/>
      <c r="B85" s="29"/>
    </row>
    <row r="86" spans="1:2">
      <c r="A86" s="29"/>
      <c r="B86" s="29"/>
    </row>
    <row r="87" spans="1:2">
      <c r="A87" s="29"/>
      <c r="B87" s="29"/>
    </row>
    <row r="88" spans="1:2">
      <c r="A88" s="29"/>
      <c r="B88" s="29"/>
    </row>
    <row r="89" spans="1:2">
      <c r="A89" s="29"/>
      <c r="B89" s="29"/>
    </row>
    <row r="90" spans="1:2">
      <c r="A90" s="29"/>
      <c r="B90" s="29"/>
    </row>
    <row r="91" spans="1:2">
      <c r="A91" s="29"/>
      <c r="B91" s="29"/>
    </row>
    <row r="92" spans="1:2">
      <c r="A92" s="29"/>
      <c r="B92" s="29"/>
    </row>
    <row r="93" spans="1:2">
      <c r="A93" s="29"/>
      <c r="B93" s="29"/>
    </row>
    <row r="94" spans="1:2">
      <c r="A94" s="29"/>
      <c r="B94" s="29"/>
    </row>
    <row r="95" spans="1:2">
      <c r="A95" s="29"/>
      <c r="B95" s="29"/>
    </row>
    <row r="96" spans="1:2">
      <c r="A96" s="29"/>
      <c r="B96" s="29"/>
    </row>
    <row r="97" spans="1:2">
      <c r="A97" s="29"/>
      <c r="B97" s="29"/>
    </row>
    <row r="98" spans="1:2">
      <c r="A98" s="29"/>
      <c r="B98" s="29"/>
    </row>
    <row r="99" spans="1:2">
      <c r="A99" s="29"/>
      <c r="B99" s="29"/>
    </row>
    <row r="100" spans="1:2">
      <c r="A100" s="29"/>
      <c r="B100" s="29"/>
    </row>
    <row r="101" spans="1:2">
      <c r="A101" s="29"/>
      <c r="B101" s="29"/>
    </row>
    <row r="102" spans="1:2">
      <c r="A102" s="29"/>
      <c r="B102" s="29"/>
    </row>
    <row r="103" spans="1:2">
      <c r="A103" s="29"/>
      <c r="B103" s="29"/>
    </row>
    <row r="104" spans="1:2">
      <c r="A104" s="29"/>
      <c r="B104" s="29"/>
    </row>
    <row r="105" spans="1:2">
      <c r="A105" s="29"/>
      <c r="B105" s="29"/>
    </row>
    <row r="106" spans="1:2">
      <c r="A106" s="29"/>
      <c r="B106" s="29"/>
    </row>
    <row r="107" spans="1:2">
      <c r="A107" s="29"/>
      <c r="B107" s="29"/>
    </row>
  </sheetData>
  <mergeCells count="40">
    <mergeCell ref="B3:C3"/>
    <mergeCell ref="D3:E3"/>
    <mergeCell ref="F3:G3"/>
    <mergeCell ref="H3:I3"/>
    <mergeCell ref="J3:K3"/>
    <mergeCell ref="AR3:AS3"/>
    <mergeCell ref="L3:M3"/>
    <mergeCell ref="N3:O3"/>
    <mergeCell ref="AJ3:AK3"/>
    <mergeCell ref="AL3:AM3"/>
    <mergeCell ref="AN3:AO3"/>
    <mergeCell ref="AP3:AQ3"/>
    <mergeCell ref="AH3:AI3"/>
    <mergeCell ref="AA3:AC3"/>
    <mergeCell ref="P3:R3"/>
    <mergeCell ref="S3:U3"/>
    <mergeCell ref="V3:X3"/>
    <mergeCell ref="Y3:Z3"/>
    <mergeCell ref="AD3:AE3"/>
    <mergeCell ref="AF3:AG3"/>
    <mergeCell ref="B4:C4"/>
    <mergeCell ref="D4:E4"/>
    <mergeCell ref="F4:G4"/>
    <mergeCell ref="H4:I4"/>
    <mergeCell ref="J4:K4"/>
    <mergeCell ref="AR4:AS4"/>
    <mergeCell ref="L4:M4"/>
    <mergeCell ref="N4:O4"/>
    <mergeCell ref="AD4:AE4"/>
    <mergeCell ref="AF4:AG4"/>
    <mergeCell ref="AA4:AC4"/>
    <mergeCell ref="AJ4:AK4"/>
    <mergeCell ref="AL4:AM4"/>
    <mergeCell ref="AN4:AO4"/>
    <mergeCell ref="AP4:AQ4"/>
    <mergeCell ref="AH4:AI4"/>
    <mergeCell ref="P4:R4"/>
    <mergeCell ref="S4:U4"/>
    <mergeCell ref="V4:X4"/>
    <mergeCell ref="Y4:Z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Compare w prev (colored)</vt:lpstr>
      <vt:lpstr>Compare w prev</vt:lpstr>
      <vt:lpstr>Compare w prev (ordered)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2025-08-24T20:16:17Z</dcterms:created>
  <dcterms:modified xsi:type="dcterms:W3CDTF">2025-09-22T13:48:15Z</dcterms:modified>
  <cp:category/>
</cp:coreProperties>
</file>