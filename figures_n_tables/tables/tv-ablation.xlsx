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om618/Library/Mobile Documents/com~apple~CloudDocs/00-Paper/06-TSC/논문 작성/_table/"/>
    </mc:Choice>
  </mc:AlternateContent>
  <xr:revisionPtr revIDLastSave="0" documentId="13_ncr:1_{A5E7EF3E-EBE1-3C4C-9BB4-CB89FA707B43}" xr6:coauthVersionLast="47" xr6:coauthVersionMax="47" xr10:uidLastSave="{00000000-0000-0000-0000-000000000000}"/>
  <bookViews>
    <workbookView xWindow="0" yWindow="760" windowWidth="15120" windowHeight="18880" xr2:uid="{2A92A6BD-82E1-8A46-AEE9-AF51F2330560}"/>
  </bookViews>
  <sheets>
    <sheet name="summary" sheetId="2" r:id="rId1"/>
    <sheet name="ful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1" l="1"/>
  <c r="C63" i="1"/>
  <c r="E63" i="1"/>
  <c r="D63" i="1"/>
  <c r="F63" i="1"/>
  <c r="G63" i="1"/>
  <c r="H63" i="1"/>
  <c r="I63" i="1"/>
  <c r="B64" i="1"/>
  <c r="C64" i="1"/>
  <c r="E64" i="1"/>
  <c r="D64" i="1"/>
  <c r="F64" i="1"/>
  <c r="G64" i="1"/>
  <c r="H64" i="1"/>
  <c r="I64" i="1"/>
  <c r="B65" i="1"/>
  <c r="C65" i="1"/>
  <c r="E65" i="1"/>
  <c r="D65" i="1"/>
  <c r="F65" i="1"/>
  <c r="G65" i="1"/>
  <c r="H65" i="1"/>
  <c r="I65" i="1"/>
  <c r="A64" i="1"/>
  <c r="A65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36" i="1"/>
  <c r="B37" i="1"/>
  <c r="C37" i="1"/>
  <c r="E37" i="1"/>
  <c r="D37" i="1"/>
  <c r="F37" i="1"/>
  <c r="G37" i="1"/>
  <c r="H37" i="1"/>
  <c r="I37" i="1"/>
  <c r="B38" i="1"/>
  <c r="C38" i="1"/>
  <c r="E38" i="1"/>
  <c r="D38" i="1"/>
  <c r="F38" i="1"/>
  <c r="G38" i="1"/>
  <c r="H38" i="1"/>
  <c r="I38" i="1"/>
  <c r="B39" i="1"/>
  <c r="C39" i="1"/>
  <c r="E39" i="1"/>
  <c r="D39" i="1"/>
  <c r="F39" i="1"/>
  <c r="G39" i="1"/>
  <c r="H39" i="1"/>
  <c r="I39" i="1"/>
  <c r="B40" i="1"/>
  <c r="C40" i="1"/>
  <c r="E40" i="1"/>
  <c r="D40" i="1"/>
  <c r="F40" i="1"/>
  <c r="G40" i="1"/>
  <c r="H40" i="1"/>
  <c r="I40" i="1"/>
  <c r="B41" i="1"/>
  <c r="C41" i="1"/>
  <c r="E41" i="1"/>
  <c r="D41" i="1"/>
  <c r="F41" i="1"/>
  <c r="G41" i="1"/>
  <c r="H41" i="1"/>
  <c r="I41" i="1"/>
  <c r="B42" i="1"/>
  <c r="C42" i="1"/>
  <c r="E42" i="1"/>
  <c r="D42" i="1"/>
  <c r="F42" i="1"/>
  <c r="G42" i="1"/>
  <c r="H42" i="1"/>
  <c r="I42" i="1"/>
  <c r="B43" i="1"/>
  <c r="C43" i="1"/>
  <c r="E43" i="1"/>
  <c r="D43" i="1"/>
  <c r="F43" i="1"/>
  <c r="G43" i="1"/>
  <c r="H43" i="1"/>
  <c r="I43" i="1"/>
  <c r="B44" i="1"/>
  <c r="C44" i="1"/>
  <c r="E44" i="1"/>
  <c r="D44" i="1"/>
  <c r="F44" i="1"/>
  <c r="G44" i="1"/>
  <c r="H44" i="1"/>
  <c r="I44" i="1"/>
  <c r="B45" i="1"/>
  <c r="C45" i="1"/>
  <c r="E45" i="1"/>
  <c r="D45" i="1"/>
  <c r="F45" i="1"/>
  <c r="G45" i="1"/>
  <c r="H45" i="1"/>
  <c r="I45" i="1"/>
  <c r="B46" i="1"/>
  <c r="C46" i="1"/>
  <c r="E46" i="1"/>
  <c r="D46" i="1"/>
  <c r="F46" i="1"/>
  <c r="G46" i="1"/>
  <c r="H46" i="1"/>
  <c r="I46" i="1"/>
  <c r="B47" i="1"/>
  <c r="C47" i="1"/>
  <c r="E47" i="1"/>
  <c r="D47" i="1"/>
  <c r="F47" i="1"/>
  <c r="G47" i="1"/>
  <c r="H47" i="1"/>
  <c r="I47" i="1"/>
  <c r="B48" i="1"/>
  <c r="C48" i="1"/>
  <c r="E48" i="1"/>
  <c r="D48" i="1"/>
  <c r="F48" i="1"/>
  <c r="G48" i="1"/>
  <c r="H48" i="1"/>
  <c r="I48" i="1"/>
  <c r="B49" i="1"/>
  <c r="C49" i="1"/>
  <c r="E49" i="1"/>
  <c r="D49" i="1"/>
  <c r="F49" i="1"/>
  <c r="G49" i="1"/>
  <c r="H49" i="1"/>
  <c r="I49" i="1"/>
  <c r="B50" i="1"/>
  <c r="C50" i="1"/>
  <c r="E50" i="1"/>
  <c r="D50" i="1"/>
  <c r="F50" i="1"/>
  <c r="G50" i="1"/>
  <c r="H50" i="1"/>
  <c r="I50" i="1"/>
  <c r="B51" i="1"/>
  <c r="C51" i="1"/>
  <c r="E51" i="1"/>
  <c r="D51" i="1"/>
  <c r="F51" i="1"/>
  <c r="G51" i="1"/>
  <c r="H51" i="1"/>
  <c r="I51" i="1"/>
  <c r="B52" i="1"/>
  <c r="C52" i="1"/>
  <c r="E52" i="1"/>
  <c r="D52" i="1"/>
  <c r="F52" i="1"/>
  <c r="G52" i="1"/>
  <c r="H52" i="1"/>
  <c r="I52" i="1"/>
  <c r="B53" i="1"/>
  <c r="C53" i="1"/>
  <c r="E53" i="1"/>
  <c r="D53" i="1"/>
  <c r="F53" i="1"/>
  <c r="G53" i="1"/>
  <c r="H53" i="1"/>
  <c r="I53" i="1"/>
  <c r="B54" i="1"/>
  <c r="C54" i="1"/>
  <c r="E54" i="1"/>
  <c r="D54" i="1"/>
  <c r="F54" i="1"/>
  <c r="G54" i="1"/>
  <c r="H54" i="1"/>
  <c r="I54" i="1"/>
  <c r="B55" i="1"/>
  <c r="C55" i="1"/>
  <c r="E55" i="1"/>
  <c r="D55" i="1"/>
  <c r="F55" i="1"/>
  <c r="G55" i="1"/>
  <c r="H55" i="1"/>
  <c r="I55" i="1"/>
  <c r="B56" i="1"/>
  <c r="C56" i="1"/>
  <c r="E56" i="1"/>
  <c r="D56" i="1"/>
  <c r="F56" i="1"/>
  <c r="G56" i="1"/>
  <c r="H56" i="1"/>
  <c r="I56" i="1"/>
  <c r="B57" i="1"/>
  <c r="C57" i="1"/>
  <c r="E57" i="1"/>
  <c r="D57" i="1"/>
  <c r="F57" i="1"/>
  <c r="G57" i="1"/>
  <c r="H57" i="1"/>
  <c r="I57" i="1"/>
  <c r="B58" i="1"/>
  <c r="C58" i="1"/>
  <c r="E58" i="1"/>
  <c r="D58" i="1"/>
  <c r="F58" i="1"/>
  <c r="G58" i="1"/>
  <c r="H58" i="1"/>
  <c r="I58" i="1"/>
  <c r="B59" i="1"/>
  <c r="C59" i="1"/>
  <c r="E59" i="1"/>
  <c r="D59" i="1"/>
  <c r="F59" i="1"/>
  <c r="G59" i="1"/>
  <c r="H59" i="1"/>
  <c r="I59" i="1"/>
  <c r="B60" i="1"/>
  <c r="C60" i="1"/>
  <c r="E60" i="1"/>
  <c r="D60" i="1"/>
  <c r="F60" i="1"/>
  <c r="G60" i="1"/>
  <c r="H60" i="1"/>
  <c r="I60" i="1"/>
  <c r="B61" i="1"/>
  <c r="C61" i="1"/>
  <c r="E61" i="1"/>
  <c r="D61" i="1"/>
  <c r="F61" i="1"/>
  <c r="G61" i="1"/>
  <c r="H61" i="1"/>
  <c r="I61" i="1"/>
  <c r="B62" i="1"/>
  <c r="C62" i="1"/>
  <c r="E62" i="1"/>
  <c r="D62" i="1"/>
  <c r="F62" i="1"/>
  <c r="G62" i="1"/>
  <c r="H62" i="1"/>
  <c r="I62" i="1"/>
  <c r="C36" i="1"/>
  <c r="E36" i="1"/>
  <c r="D36" i="1"/>
  <c r="F36" i="1"/>
  <c r="G36" i="1"/>
  <c r="H36" i="1"/>
  <c r="I36" i="1"/>
  <c r="B36" i="1"/>
  <c r="C32" i="1"/>
  <c r="E32" i="1"/>
  <c r="D32" i="1"/>
  <c r="F32" i="1"/>
  <c r="G32" i="1"/>
  <c r="H32" i="1"/>
  <c r="I32" i="1"/>
  <c r="B32" i="1"/>
  <c r="C33" i="1"/>
  <c r="E33" i="1"/>
  <c r="D33" i="1"/>
  <c r="F33" i="1"/>
  <c r="G33" i="1"/>
  <c r="H33" i="1"/>
  <c r="I33" i="1"/>
  <c r="B33" i="1"/>
  <c r="B66" i="1" l="1"/>
  <c r="B34" i="1" s="1"/>
  <c r="D66" i="1"/>
  <c r="D34" i="1" s="1"/>
  <c r="I66" i="1"/>
  <c r="I34" i="1" s="1"/>
  <c r="G66" i="1"/>
  <c r="G34" i="1" s="1"/>
  <c r="E66" i="1"/>
  <c r="E34" i="1" s="1"/>
  <c r="C66" i="1"/>
  <c r="C34" i="1" s="1"/>
  <c r="H66" i="1"/>
  <c r="H34" i="1" s="1"/>
  <c r="F66" i="1"/>
  <c r="F34" i="1" s="1"/>
</calcChain>
</file>

<file path=xl/sharedStrings.xml><?xml version="1.0" encoding="utf-8"?>
<sst xmlns="http://schemas.openxmlformats.org/spreadsheetml/2006/main" count="102" uniqueCount="52">
  <si>
    <t>LSST</t>
  </si>
  <si>
    <r>
      <t xml:space="preserve">TV-Δ : </t>
    </r>
    <r>
      <rPr>
        <sz val="12"/>
        <color theme="1"/>
        <rFont val="맑은 고딕"/>
        <family val="2"/>
        <charset val="129"/>
        <scheme val="minor"/>
      </rPr>
      <t>✘
TV-B : ✘
TV-C : ✔</t>
    </r>
    <phoneticPr fontId="2" type="noConversion"/>
  </si>
  <si>
    <t>avg. acc (10)</t>
    <phoneticPr fontId="2" type="noConversion"/>
  </si>
  <si>
    <t>avg. acc</t>
    <phoneticPr fontId="2" type="noConversion"/>
  </si>
  <si>
    <r>
      <t xml:space="preserve">TV-Δ : </t>
    </r>
    <r>
      <rPr>
        <sz val="12"/>
        <color theme="1"/>
        <rFont val="맑은 고딕"/>
        <family val="2"/>
        <charset val="129"/>
        <scheme val="minor"/>
      </rPr>
      <t>✘
TV-B : ✔
TV-C : ✔</t>
    </r>
    <phoneticPr fontId="2" type="noConversion"/>
  </si>
  <si>
    <r>
      <t xml:space="preserve">TV-Δ : </t>
    </r>
    <r>
      <rPr>
        <sz val="12"/>
        <color theme="1"/>
        <rFont val="맑은 고딕"/>
        <family val="2"/>
        <charset val="129"/>
        <scheme val="minor"/>
      </rPr>
      <t>✘
TV-B : ✔
TV-C : ✘</t>
    </r>
    <phoneticPr fontId="2" type="noConversion"/>
  </si>
  <si>
    <r>
      <t xml:space="preserve">TV-Δ : </t>
    </r>
    <r>
      <rPr>
        <sz val="12"/>
        <color theme="1"/>
        <rFont val="맑은 고딕"/>
        <family val="2"/>
        <charset val="129"/>
        <scheme val="minor"/>
      </rPr>
      <t>✔
TV-B : ✘
TV-C : ✘</t>
    </r>
    <phoneticPr fontId="2" type="noConversion"/>
  </si>
  <si>
    <r>
      <t xml:space="preserve">TV-Δ : </t>
    </r>
    <r>
      <rPr>
        <sz val="12"/>
        <color theme="1"/>
        <rFont val="맑은 고딕"/>
        <family val="2"/>
        <charset val="129"/>
        <scheme val="minor"/>
      </rPr>
      <t>✔
TV-B : ✘
TV-C : ✔</t>
    </r>
    <phoneticPr fontId="2" type="noConversion"/>
  </si>
  <si>
    <r>
      <t xml:space="preserve">TV-Δ : </t>
    </r>
    <r>
      <rPr>
        <sz val="12"/>
        <color theme="1"/>
        <rFont val="맑은 고딕"/>
        <family val="2"/>
        <charset val="129"/>
        <scheme val="minor"/>
      </rPr>
      <t>✔
TV-B : ✔
TV-C : ✘</t>
    </r>
    <phoneticPr fontId="2" type="noConversion"/>
  </si>
  <si>
    <r>
      <t xml:space="preserve">TV-Δ : </t>
    </r>
    <r>
      <rPr>
        <sz val="12"/>
        <color theme="1"/>
        <rFont val="맑은 고딕"/>
        <family val="2"/>
        <charset val="129"/>
        <scheme val="minor"/>
      </rPr>
      <t>✔
TV-B : ✔
TV-C : ✔</t>
    </r>
    <phoneticPr fontId="2" type="noConversion"/>
  </si>
  <si>
    <t>EC</t>
  </si>
  <si>
    <t>FD</t>
  </si>
  <si>
    <t>HW</t>
  </si>
  <si>
    <t>HB</t>
  </si>
  <si>
    <t>JV</t>
  </si>
  <si>
    <t>PEMS</t>
  </si>
  <si>
    <t>SRS1</t>
  </si>
  <si>
    <t>SRS2</t>
  </si>
  <si>
    <t>SAD</t>
  </si>
  <si>
    <t>UW</t>
  </si>
  <si>
    <t>AWR</t>
  </si>
  <si>
    <t>AF</t>
  </si>
  <si>
    <t>BM</t>
  </si>
  <si>
    <t>CT</t>
  </si>
  <si>
    <t>CR</t>
  </si>
  <si>
    <t>DDG</t>
  </si>
  <si>
    <t>EW</t>
  </si>
  <si>
    <t>EP</t>
  </si>
  <si>
    <t>ER</t>
  </si>
  <si>
    <t>FM</t>
  </si>
  <si>
    <t>HMD</t>
  </si>
  <si>
    <t>IW</t>
  </si>
  <si>
    <t>LIB</t>
  </si>
  <si>
    <t>MI</t>
  </si>
  <si>
    <t>NATO</t>
  </si>
  <si>
    <t>PD</t>
  </si>
  <si>
    <t>PS</t>
  </si>
  <si>
    <t>RS</t>
  </si>
  <si>
    <t>SWJ</t>
  </si>
  <si>
    <t>avg. accuracy (10)</t>
  </si>
  <si>
    <t>avg. accuracy (all)</t>
  </si>
  <si>
    <t>avg. rank</t>
  </si>
  <si>
    <t>average</t>
    <phoneticPr fontId="2" type="noConversion"/>
  </si>
  <si>
    <t>✔</t>
  </si>
  <si>
    <t>✘</t>
  </si>
  <si>
    <r>
      <t xml:space="preserve">TV-Δ : </t>
    </r>
    <r>
      <rPr>
        <sz val="12"/>
        <color theme="1"/>
        <rFont val="Segoe UI Symbol"/>
        <family val="2"/>
        <charset val="129"/>
      </rPr>
      <t>✘</t>
    </r>
    <r>
      <rPr>
        <sz val="12"/>
        <color theme="1"/>
        <rFont val="맑은 고딕"/>
        <family val="2"/>
        <charset val="129"/>
        <scheme val="minor"/>
      </rPr>
      <t xml:space="preserve">
TV-B : </t>
    </r>
    <r>
      <rPr>
        <sz val="12"/>
        <color theme="1"/>
        <rFont val="Segoe UI Symbol"/>
        <family val="2"/>
        <charset val="129"/>
      </rPr>
      <t>✘</t>
    </r>
    <r>
      <rPr>
        <sz val="12"/>
        <color theme="1"/>
        <rFont val="맑은 고딕"/>
        <family val="2"/>
        <charset val="129"/>
        <scheme val="minor"/>
      </rPr>
      <t xml:space="preserve">
TV-C : </t>
    </r>
    <r>
      <rPr>
        <sz val="12"/>
        <color theme="1"/>
        <rFont val="Segoe UI Symbol"/>
        <family val="2"/>
        <charset val="129"/>
      </rPr>
      <t>✘</t>
    </r>
    <phoneticPr fontId="2" type="noConversion"/>
  </si>
  <si>
    <t>TV-Δ
(dynamic update rate)</t>
    <phoneticPr fontId="2" type="noConversion"/>
  </si>
  <si>
    <t>avg. rank</t>
    <phoneticPr fontId="2" type="noConversion"/>
  </si>
  <si>
    <t>TV-B
(input-to-state mixing)</t>
    <phoneticPr fontId="2" type="noConversion"/>
  </si>
  <si>
    <t>TV-C
(state-to-output mixing)</t>
    <phoneticPr fontId="2" type="noConversion"/>
  </si>
  <si>
    <t>TV-Δ
\small{(dynamic update rate)}</t>
    <phoneticPr fontId="2" type="noConversion"/>
  </si>
  <si>
    <t>TV-B
\small{(input-to-state mixing)}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</si>
</sst>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_);[Red]\(0.00\)"/>
    <numFmt numFmtId="178" formatCode="0_);[Red]\(0\)"/>
  </numFmts>
  <fonts count="6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Segoe UI Symbol"/>
      <family val="2"/>
      <charset val="129"/>
    </font>
    <font>
      <sz val="12"/>
      <color theme="1"/>
      <name val="Malgun Gothic"/>
      <family val="2"/>
      <charset val="129"/>
    </font>
    <font>
      <u/>
      <sz val="12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177" fontId="0" fillId="0" borderId="0" xfId="0" applyNumberFormat="1">
      <alignment vertical="center"/>
    </xf>
    <xf numFmtId="0" fontId="0" fillId="3" borderId="0" xfId="0" applyFill="1" applyAlignment="1">
      <alignment horizontal="center" vertical="center"/>
    </xf>
    <xf numFmtId="178" fontId="0" fillId="0" borderId="0" xfId="0" applyNumberFormat="1">
      <alignment vertical="center"/>
    </xf>
    <xf numFmtId="176" fontId="1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2" fontId="1" fillId="0" borderId="0" xfId="0" applyNumberFormat="1" applyFont="1">
      <alignment vertical="center"/>
    </xf>
    <xf numFmtId="2" fontId="5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D228-09FF-1847-9923-9EA7228DED0C}">
  <dimension ref="A3:H27"/>
  <sheetViews>
    <sheetView tabSelected="1" workbookViewId="0">
      <selection activeCell="F11" sqref="F11"/>
    </sheetView>
  </sheetViews>
  <sheetFormatPr baseColWidth="10" defaultRowHeight="18"/>
  <cols>
    <col min="1" max="2" width="20.28515625" customWidth="1"/>
    <col min="3" max="3" width="21.5703125" customWidth="1"/>
    <col min="4" max="4" width="11.7109375" bestFit="1" customWidth="1"/>
    <col min="5" max="6" width="9.28515625" customWidth="1"/>
  </cols>
  <sheetData>
    <row r="3" spans="1:8" ht="38">
      <c r="A3" s="1" t="s">
        <v>46</v>
      </c>
      <c r="B3" s="1" t="s">
        <v>48</v>
      </c>
      <c r="C3" s="1" t="s">
        <v>49</v>
      </c>
      <c r="D3" s="1" t="s">
        <v>2</v>
      </c>
      <c r="E3" s="1" t="s">
        <v>3</v>
      </c>
      <c r="F3" s="1" t="s">
        <v>47</v>
      </c>
      <c r="G3" s="1"/>
      <c r="H3" s="1"/>
    </row>
    <row r="4" spans="1:8">
      <c r="A4" s="7" t="s">
        <v>44</v>
      </c>
      <c r="B4" s="7" t="s">
        <v>44</v>
      </c>
      <c r="C4" s="7" t="s">
        <v>44</v>
      </c>
      <c r="D4" s="9">
        <v>77.279665317737056</v>
      </c>
      <c r="E4" s="2">
        <v>77.400079505559304</v>
      </c>
      <c r="F4" s="3">
        <v>3.8666666666666667</v>
      </c>
      <c r="G4" s="6"/>
      <c r="H4" s="6"/>
    </row>
    <row r="5" spans="1:8">
      <c r="A5" s="7" t="s">
        <v>44</v>
      </c>
      <c r="B5" s="7" t="s">
        <v>44</v>
      </c>
      <c r="C5" s="5" t="s">
        <v>43</v>
      </c>
      <c r="D5" s="10">
        <v>76.938451797220324</v>
      </c>
      <c r="E5" s="2">
        <v>77.102343785587905</v>
      </c>
      <c r="F5" s="3">
        <v>3.9333333333333331</v>
      </c>
      <c r="G5" s="8"/>
      <c r="H5" s="8"/>
    </row>
    <row r="6" spans="1:8">
      <c r="A6" s="7" t="s">
        <v>44</v>
      </c>
      <c r="B6" s="5" t="s">
        <v>43</v>
      </c>
      <c r="C6" s="7" t="s">
        <v>44</v>
      </c>
      <c r="D6" s="2">
        <v>76.451446216846037</v>
      </c>
      <c r="E6" s="2">
        <v>77.041758188960159</v>
      </c>
      <c r="F6" s="3">
        <v>3.8</v>
      </c>
      <c r="G6" s="8"/>
      <c r="H6" s="8"/>
    </row>
    <row r="7" spans="1:8">
      <c r="A7" s="7" t="s">
        <v>44</v>
      </c>
      <c r="B7" s="5" t="s">
        <v>43</v>
      </c>
      <c r="C7" s="5" t="s">
        <v>43</v>
      </c>
      <c r="D7" s="2">
        <v>76.422480520641045</v>
      </c>
      <c r="E7" s="9">
        <v>77.767160144415826</v>
      </c>
      <c r="F7" s="11">
        <v>3.6</v>
      </c>
      <c r="G7" s="8"/>
      <c r="H7" s="8"/>
    </row>
    <row r="8" spans="1:8">
      <c r="A8" s="5" t="s">
        <v>43</v>
      </c>
      <c r="B8" s="7" t="s">
        <v>44</v>
      </c>
      <c r="C8" s="7" t="s">
        <v>44</v>
      </c>
      <c r="D8" s="2">
        <v>76.252815625361009</v>
      </c>
      <c r="E8" s="10">
        <v>77.707216187531898</v>
      </c>
      <c r="F8" s="12">
        <v>3.6333333333333333</v>
      </c>
      <c r="G8" s="8"/>
      <c r="H8" s="8"/>
    </row>
    <row r="9" spans="1:8">
      <c r="A9" s="5" t="s">
        <v>43</v>
      </c>
      <c r="B9" s="7" t="s">
        <v>44</v>
      </c>
      <c r="C9" s="5" t="s">
        <v>43</v>
      </c>
      <c r="D9" s="2">
        <v>76.298836095152438</v>
      </c>
      <c r="E9" s="2">
        <v>77.148415257334321</v>
      </c>
      <c r="F9" s="3">
        <v>3.7</v>
      </c>
      <c r="G9" s="8"/>
      <c r="H9" s="8"/>
    </row>
    <row r="10" spans="1:8">
      <c r="A10" s="5" t="s">
        <v>43</v>
      </c>
      <c r="B10" s="5" t="s">
        <v>43</v>
      </c>
      <c r="C10" s="7" t="s">
        <v>44</v>
      </c>
      <c r="D10" s="2">
        <v>76.30929202782022</v>
      </c>
      <c r="E10" s="2">
        <v>77.084679750931585</v>
      </c>
      <c r="F10" s="3">
        <v>3.8</v>
      </c>
      <c r="G10" s="8"/>
      <c r="H10" s="8"/>
    </row>
    <row r="11" spans="1:8">
      <c r="A11" s="5" t="s">
        <v>43</v>
      </c>
      <c r="B11" s="5" t="s">
        <v>43</v>
      </c>
      <c r="C11" s="5" t="s">
        <v>43</v>
      </c>
      <c r="D11" s="2">
        <v>75.938168964009108</v>
      </c>
      <c r="E11" s="2">
        <v>77.054559706543941</v>
      </c>
      <c r="F11" s="3">
        <v>4.1333333333333337</v>
      </c>
      <c r="G11" s="8"/>
      <c r="H11" s="8"/>
    </row>
    <row r="12" spans="1:8">
      <c r="D12" s="1"/>
    </row>
    <row r="19" spans="1:6" ht="57">
      <c r="A19" s="1" t="s">
        <v>50</v>
      </c>
      <c r="B19" s="1" t="s">
        <v>51</v>
      </c>
      <c r="C19" s="1" t="s">
        <v>49</v>
      </c>
      <c r="D19" s="1" t="s">
        <v>2</v>
      </c>
      <c r="E19" s="1" t="s">
        <v>3</v>
      </c>
      <c r="F19" s="1" t="s">
        <v>47</v>
      </c>
    </row>
    <row r="20" spans="1:6">
      <c r="A20" s="7" t="s">
        <v>44</v>
      </c>
      <c r="B20" s="7" t="s">
        <v>44</v>
      </c>
      <c r="C20" s="7" t="s">
        <v>44</v>
      </c>
      <c r="D20" s="9">
        <v>77.279665317737056</v>
      </c>
      <c r="E20" s="2">
        <v>77.400079505559304</v>
      </c>
      <c r="F20" s="3">
        <v>3.8666666666666667</v>
      </c>
    </row>
    <row r="21" spans="1:6">
      <c r="A21" s="7" t="s">
        <v>44</v>
      </c>
      <c r="B21" s="7" t="s">
        <v>44</v>
      </c>
      <c r="C21" s="5" t="s">
        <v>43</v>
      </c>
      <c r="D21" s="10">
        <v>76.938451797220324</v>
      </c>
      <c r="E21" s="2">
        <v>77.102343785587905</v>
      </c>
      <c r="F21" s="3">
        <v>3.9333333333333331</v>
      </c>
    </row>
    <row r="22" spans="1:6">
      <c r="A22" s="7" t="s">
        <v>44</v>
      </c>
      <c r="B22" s="5" t="s">
        <v>43</v>
      </c>
      <c r="C22" s="7" t="s">
        <v>44</v>
      </c>
      <c r="D22" s="2">
        <v>76.451446216846037</v>
      </c>
      <c r="E22" s="2">
        <v>77.041758188960159</v>
      </c>
      <c r="F22" s="3">
        <v>3.8</v>
      </c>
    </row>
    <row r="23" spans="1:6">
      <c r="A23" s="7" t="s">
        <v>44</v>
      </c>
      <c r="B23" s="5" t="s">
        <v>43</v>
      </c>
      <c r="C23" s="5" t="s">
        <v>43</v>
      </c>
      <c r="D23" s="2">
        <v>76.422480520641045</v>
      </c>
      <c r="E23" s="9">
        <v>77.767160144415826</v>
      </c>
      <c r="F23" s="11">
        <v>3.6</v>
      </c>
    </row>
    <row r="24" spans="1:6">
      <c r="A24" s="5" t="s">
        <v>43</v>
      </c>
      <c r="B24" s="7" t="s">
        <v>44</v>
      </c>
      <c r="C24" s="7" t="s">
        <v>44</v>
      </c>
      <c r="D24" s="2">
        <v>76.252815625361009</v>
      </c>
      <c r="E24" s="10">
        <v>77.707216187531898</v>
      </c>
      <c r="F24" s="12">
        <v>3.6333333333333333</v>
      </c>
    </row>
    <row r="25" spans="1:6">
      <c r="A25" s="5" t="s">
        <v>43</v>
      </c>
      <c r="B25" s="7" t="s">
        <v>44</v>
      </c>
      <c r="C25" s="5" t="s">
        <v>43</v>
      </c>
      <c r="D25" s="2">
        <v>76.298836095152438</v>
      </c>
      <c r="E25" s="2">
        <v>77.148415257334321</v>
      </c>
      <c r="F25" s="3">
        <v>3.7</v>
      </c>
    </row>
    <row r="26" spans="1:6">
      <c r="A26" s="5" t="s">
        <v>43</v>
      </c>
      <c r="B26" s="5" t="s">
        <v>43</v>
      </c>
      <c r="C26" s="7" t="s">
        <v>44</v>
      </c>
      <c r="D26" s="2">
        <v>76.30929202782022</v>
      </c>
      <c r="E26" s="2">
        <v>77.084679750931585</v>
      </c>
      <c r="F26" s="3">
        <v>3.8</v>
      </c>
    </row>
    <row r="27" spans="1:6">
      <c r="A27" s="5" t="s">
        <v>43</v>
      </c>
      <c r="B27" s="5" t="s">
        <v>43</v>
      </c>
      <c r="C27" s="5" t="s">
        <v>43</v>
      </c>
      <c r="D27" s="2">
        <v>75.938168964009108</v>
      </c>
      <c r="E27" s="2">
        <v>77.054559706543941</v>
      </c>
      <c r="F27" s="3">
        <v>4.1333333333333337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0279B-4CB2-4A4B-B67B-32F9E15F3F47}">
  <dimension ref="A1:I66"/>
  <sheetViews>
    <sheetView workbookViewId="0">
      <pane ySplit="1" topLeftCell="A2" activePane="bottomLeft" state="frozen"/>
      <selection pane="bottomLeft" activeCell="D59" sqref="D59"/>
    </sheetView>
  </sheetViews>
  <sheetFormatPr baseColWidth="10" defaultRowHeight="18"/>
  <cols>
    <col min="1" max="1" width="16.140625" bestFit="1" customWidth="1"/>
    <col min="2" max="9" width="11.140625" bestFit="1" customWidth="1"/>
  </cols>
  <sheetData>
    <row r="1" spans="1:9" ht="71" customHeight="1">
      <c r="B1" s="1" t="s">
        <v>45</v>
      </c>
      <c r="C1" s="1" t="s">
        <v>1</v>
      </c>
      <c r="D1" s="1" t="s">
        <v>5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>
      <c r="A2" s="4" t="s">
        <v>10</v>
      </c>
      <c r="B2" s="2">
        <v>42.585551330798502</v>
      </c>
      <c r="C2" s="2">
        <v>39.543726235741403</v>
      </c>
      <c r="D2" s="2">
        <v>35.741444866920197</v>
      </c>
      <c r="E2" s="2">
        <v>36.501901140684403</v>
      </c>
      <c r="F2" s="2">
        <v>33.460076045627403</v>
      </c>
      <c r="G2" s="2">
        <v>33.079847908745201</v>
      </c>
      <c r="H2" s="2">
        <v>32.699619771863098</v>
      </c>
      <c r="I2" s="2">
        <v>30.798479087452499</v>
      </c>
    </row>
    <row r="3" spans="1:9">
      <c r="A3" s="4" t="s">
        <v>11</v>
      </c>
      <c r="B3" s="2">
        <v>68.586833144154397</v>
      </c>
      <c r="C3" s="2">
        <v>68.388195232690094</v>
      </c>
      <c r="D3" s="2">
        <v>68.842224744608401</v>
      </c>
      <c r="E3" s="2">
        <v>68.842224744608401</v>
      </c>
      <c r="F3" s="2">
        <v>68.076049943246304</v>
      </c>
      <c r="G3" s="2">
        <v>69.296254256526694</v>
      </c>
      <c r="H3" s="2">
        <v>68.444948921679895</v>
      </c>
      <c r="I3" s="2">
        <v>69.012485811577704</v>
      </c>
    </row>
    <row r="4" spans="1:9">
      <c r="A4" s="4" t="s">
        <v>12</v>
      </c>
      <c r="B4" s="2">
        <v>59.294117647058798</v>
      </c>
      <c r="C4" s="2">
        <v>59.647058823529399</v>
      </c>
      <c r="D4" s="2">
        <v>56.470588235294102</v>
      </c>
      <c r="E4" s="2">
        <v>58.588235294117702</v>
      </c>
      <c r="F4" s="2">
        <v>60.117647058823501</v>
      </c>
      <c r="G4" s="2">
        <v>60.823529411764703</v>
      </c>
      <c r="H4" s="2">
        <v>56.941176470588204</v>
      </c>
      <c r="I4" s="2">
        <v>54.117647058823501</v>
      </c>
    </row>
    <row r="5" spans="1:9">
      <c r="A5" s="4" t="s">
        <v>13</v>
      </c>
      <c r="B5" s="2">
        <v>80.487804878048806</v>
      </c>
      <c r="C5" s="2">
        <v>79.512195121951194</v>
      </c>
      <c r="D5" s="2">
        <v>79.024390243902403</v>
      </c>
      <c r="E5" s="2">
        <v>79.024390243902403</v>
      </c>
      <c r="F5" s="2">
        <v>80</v>
      </c>
      <c r="G5" s="2">
        <v>79.512195121951194</v>
      </c>
      <c r="H5" s="2">
        <v>79.024390243902403</v>
      </c>
      <c r="I5" s="2">
        <v>79.512195121951194</v>
      </c>
    </row>
    <row r="6" spans="1:9">
      <c r="A6" s="4" t="s">
        <v>14</v>
      </c>
      <c r="B6" s="2">
        <v>98.3783783783784</v>
      </c>
      <c r="C6" s="2">
        <v>98.3783783783784</v>
      </c>
      <c r="D6" s="2">
        <v>98.3783783783784</v>
      </c>
      <c r="E6" s="2">
        <v>98.108108108108098</v>
      </c>
      <c r="F6" s="2">
        <v>98.108108108108098</v>
      </c>
      <c r="G6" s="2">
        <v>98.3783783783784</v>
      </c>
      <c r="H6" s="2">
        <v>98.648648648648603</v>
      </c>
      <c r="I6" s="2">
        <v>98.108108108108098</v>
      </c>
    </row>
    <row r="7" spans="1:9">
      <c r="A7" s="4" t="s">
        <v>15</v>
      </c>
      <c r="B7" s="2">
        <v>81.502890173410407</v>
      </c>
      <c r="C7" s="2">
        <v>82.080924855491304</v>
      </c>
      <c r="D7" s="2">
        <v>85.549132947976901</v>
      </c>
      <c r="E7" s="2">
        <v>83.236994219653198</v>
      </c>
      <c r="F7" s="2">
        <v>82.658959537572301</v>
      </c>
      <c r="G7" s="2">
        <v>80.346820809248598</v>
      </c>
      <c r="H7" s="2">
        <v>85.549132947976901</v>
      </c>
      <c r="I7" s="2">
        <v>81.502890173410407</v>
      </c>
    </row>
    <row r="8" spans="1:9">
      <c r="A8" s="4" t="s">
        <v>16</v>
      </c>
      <c r="B8" s="2">
        <v>91.467576791808895</v>
      </c>
      <c r="C8" s="2">
        <v>90.784982935153593</v>
      </c>
      <c r="D8" s="2">
        <v>90.102389078498305</v>
      </c>
      <c r="E8" s="2">
        <v>90.102389078498305</v>
      </c>
      <c r="F8" s="2">
        <v>90.102389078498305</v>
      </c>
      <c r="G8" s="2">
        <v>90.784982935153593</v>
      </c>
      <c r="H8" s="2">
        <v>91.467576791808895</v>
      </c>
      <c r="I8" s="2">
        <v>90.443686006825899</v>
      </c>
    </row>
    <row r="9" spans="1:9">
      <c r="A9" s="4" t="s">
        <v>17</v>
      </c>
      <c r="B9" s="2">
        <v>57.7777777777778</v>
      </c>
      <c r="C9" s="2">
        <v>58.3333333333333</v>
      </c>
      <c r="D9" s="2">
        <v>58.8888888888889</v>
      </c>
      <c r="E9" s="2">
        <v>58.8888888888889</v>
      </c>
      <c r="F9" s="2">
        <v>57.7777777777778</v>
      </c>
      <c r="G9" s="2">
        <v>57.7777777777778</v>
      </c>
      <c r="H9" s="2">
        <v>57.7777777777778</v>
      </c>
      <c r="I9" s="2">
        <v>65</v>
      </c>
    </row>
    <row r="10" spans="1:9">
      <c r="A10" s="4" t="s">
        <v>18</v>
      </c>
      <c r="B10" s="2">
        <v>99.590723055934504</v>
      </c>
      <c r="C10" s="2">
        <v>99.590723055934504</v>
      </c>
      <c r="D10" s="2">
        <v>99.954524783992696</v>
      </c>
      <c r="E10" s="2">
        <v>99.681673487949098</v>
      </c>
      <c r="F10" s="2">
        <v>99.727148703956303</v>
      </c>
      <c r="G10" s="2">
        <v>99.863574351978201</v>
      </c>
      <c r="H10" s="2">
        <v>99.727148703956303</v>
      </c>
      <c r="I10" s="2">
        <v>99.636198271941794</v>
      </c>
    </row>
    <row r="11" spans="1:9">
      <c r="A11" s="4" t="s">
        <v>19</v>
      </c>
      <c r="B11" s="2">
        <v>93.125</v>
      </c>
      <c r="C11" s="2">
        <v>93.125</v>
      </c>
      <c r="D11" s="2">
        <v>91.5625</v>
      </c>
      <c r="E11" s="2">
        <v>91.25</v>
      </c>
      <c r="F11" s="2">
        <v>92.5</v>
      </c>
      <c r="G11" s="2">
        <v>93.125</v>
      </c>
      <c r="H11" s="2">
        <v>92.8125</v>
      </c>
      <c r="I11" s="2">
        <v>91.25</v>
      </c>
    </row>
    <row r="12" spans="1:9">
      <c r="A12" s="4" t="s">
        <v>20</v>
      </c>
      <c r="B12" s="2">
        <v>99</v>
      </c>
      <c r="C12" s="2">
        <v>99.3333333333333</v>
      </c>
      <c r="D12" s="2">
        <v>99.3333333333333</v>
      </c>
      <c r="E12" s="2">
        <v>99.3333333333333</v>
      </c>
      <c r="F12" s="2">
        <v>99</v>
      </c>
      <c r="G12" s="2">
        <v>98.6666666666667</v>
      </c>
      <c r="H12" s="2">
        <v>99</v>
      </c>
      <c r="I12" s="2">
        <v>99.3333333333333</v>
      </c>
    </row>
    <row r="13" spans="1:9">
      <c r="A13" s="4" t="s">
        <v>21</v>
      </c>
      <c r="B13" s="2">
        <v>53.3333333333333</v>
      </c>
      <c r="C13" s="2">
        <v>46.6666666666667</v>
      </c>
      <c r="D13" s="2">
        <v>46.6666666666667</v>
      </c>
      <c r="E13" s="2">
        <v>53.3333333333333</v>
      </c>
      <c r="F13" s="2">
        <v>46.6666666666667</v>
      </c>
      <c r="G13" s="2">
        <v>46.6666666666667</v>
      </c>
      <c r="H13" s="2">
        <v>53.3333333333333</v>
      </c>
      <c r="I13" s="2">
        <v>46.6666666666667</v>
      </c>
    </row>
    <row r="14" spans="1:9">
      <c r="A14" s="4" t="s">
        <v>22</v>
      </c>
      <c r="B14" s="2">
        <v>100</v>
      </c>
      <c r="C14" s="2">
        <v>100</v>
      </c>
      <c r="D14" s="2">
        <v>100</v>
      </c>
      <c r="E14" s="2">
        <v>100</v>
      </c>
      <c r="F14" s="2">
        <v>100</v>
      </c>
      <c r="G14" s="2">
        <v>100</v>
      </c>
      <c r="H14" s="2">
        <v>100</v>
      </c>
      <c r="I14" s="2">
        <v>100</v>
      </c>
    </row>
    <row r="15" spans="1:9">
      <c r="A15" s="4" t="s">
        <v>23</v>
      </c>
      <c r="B15" s="2">
        <v>99.512534818941504</v>
      </c>
      <c r="C15" s="2">
        <v>99.582172701949901</v>
      </c>
      <c r="D15" s="2">
        <v>99.442896935933106</v>
      </c>
      <c r="E15" s="2">
        <v>99.303621169916397</v>
      </c>
      <c r="F15" s="2">
        <v>99.721448467966596</v>
      </c>
      <c r="G15" s="2">
        <v>99.512534818941504</v>
      </c>
      <c r="H15" s="2">
        <v>99.512534818941504</v>
      </c>
      <c r="I15" s="2">
        <v>99.373259052924794</v>
      </c>
    </row>
    <row r="16" spans="1:9">
      <c r="A16" s="4" t="s">
        <v>24</v>
      </c>
      <c r="B16" s="2">
        <v>98.6111111111111</v>
      </c>
      <c r="C16" s="2">
        <v>98.6111111111111</v>
      </c>
      <c r="D16" s="2">
        <v>100</v>
      </c>
      <c r="E16" s="2">
        <v>100</v>
      </c>
      <c r="F16" s="2">
        <v>98.6111111111111</v>
      </c>
      <c r="G16" s="2">
        <v>98.6111111111111</v>
      </c>
      <c r="H16" s="2">
        <v>100</v>
      </c>
      <c r="I16" s="2">
        <v>100</v>
      </c>
    </row>
    <row r="17" spans="1:9">
      <c r="A17" s="4" t="s">
        <v>25</v>
      </c>
      <c r="B17" s="2">
        <v>66</v>
      </c>
      <c r="C17" s="2">
        <v>70</v>
      </c>
      <c r="D17" s="2">
        <v>66</v>
      </c>
      <c r="E17" s="2">
        <v>66</v>
      </c>
      <c r="F17" s="2">
        <v>68</v>
      </c>
      <c r="G17" s="2">
        <v>68</v>
      </c>
      <c r="H17" s="2">
        <v>66</v>
      </c>
      <c r="I17" s="2">
        <v>66</v>
      </c>
    </row>
    <row r="18" spans="1:9">
      <c r="A18" s="4" t="s">
        <v>26</v>
      </c>
      <c r="B18" s="2">
        <v>82.442748091603093</v>
      </c>
      <c r="C18" s="2">
        <v>80.152671755725194</v>
      </c>
      <c r="D18" s="2">
        <v>83.969465648855007</v>
      </c>
      <c r="E18" s="2">
        <v>82.442748091603093</v>
      </c>
      <c r="F18" s="2">
        <v>83.206106870228993</v>
      </c>
      <c r="G18" s="2">
        <v>78.625954198473295</v>
      </c>
      <c r="H18" s="2">
        <v>83.969465648855007</v>
      </c>
      <c r="I18" s="2">
        <v>83.206106870228993</v>
      </c>
    </row>
    <row r="19" spans="1:9">
      <c r="A19" s="4" t="s">
        <v>27</v>
      </c>
      <c r="B19" s="2">
        <v>97.101449275362299</v>
      </c>
      <c r="C19" s="2">
        <v>97.101449275362299</v>
      </c>
      <c r="D19" s="2">
        <v>97.101449275362299</v>
      </c>
      <c r="E19" s="2">
        <v>97.101449275362299</v>
      </c>
      <c r="F19" s="2">
        <v>97.101449275362299</v>
      </c>
      <c r="G19" s="2">
        <v>97.826086956521706</v>
      </c>
      <c r="H19" s="2">
        <v>97.101449275362299</v>
      </c>
      <c r="I19" s="2">
        <v>97.826086956521706</v>
      </c>
    </row>
    <row r="20" spans="1:9">
      <c r="A20" s="4" t="s">
        <v>28</v>
      </c>
      <c r="B20" s="2">
        <v>92.592592592592595</v>
      </c>
      <c r="C20" s="2">
        <v>92.592592592592595</v>
      </c>
      <c r="D20" s="2">
        <v>91.851851851851805</v>
      </c>
      <c r="E20" s="2">
        <v>93.3333333333333</v>
      </c>
      <c r="F20" s="2">
        <v>92.962962962963005</v>
      </c>
      <c r="G20" s="2">
        <v>92.592592592592595</v>
      </c>
      <c r="H20" s="2">
        <v>91.1111111111111</v>
      </c>
      <c r="I20" s="2">
        <v>91.851851851851805</v>
      </c>
    </row>
    <row r="21" spans="1:9">
      <c r="A21" s="4" t="s">
        <v>29</v>
      </c>
      <c r="B21" s="2">
        <v>63</v>
      </c>
      <c r="C21" s="2">
        <v>60</v>
      </c>
      <c r="D21" s="2">
        <v>66</v>
      </c>
      <c r="E21" s="2">
        <v>71</v>
      </c>
      <c r="F21" s="2">
        <v>64</v>
      </c>
      <c r="G21" s="2">
        <v>62</v>
      </c>
      <c r="H21" s="2">
        <v>63</v>
      </c>
      <c r="I21" s="2">
        <v>62</v>
      </c>
    </row>
    <row r="22" spans="1:9">
      <c r="A22" s="4" t="s">
        <v>30</v>
      </c>
      <c r="B22" s="2">
        <v>68.918918918918905</v>
      </c>
      <c r="C22" s="2">
        <v>66.216216216216196</v>
      </c>
      <c r="D22" s="2">
        <v>59.459459459459502</v>
      </c>
      <c r="E22" s="2">
        <v>64.864864864864899</v>
      </c>
      <c r="F22" s="2">
        <v>67.567567567567593</v>
      </c>
      <c r="G22" s="2">
        <v>70.270270270270302</v>
      </c>
      <c r="H22" s="2">
        <v>64.864864864864899</v>
      </c>
      <c r="I22" s="2">
        <v>63.513513513513502</v>
      </c>
    </row>
    <row r="23" spans="1:9">
      <c r="A23" s="4" t="s">
        <v>31</v>
      </c>
      <c r="B23" s="2">
        <v>66.304000000000002</v>
      </c>
      <c r="C23" s="2">
        <v>66.016000000000005</v>
      </c>
      <c r="D23" s="2">
        <v>65.924000000000007</v>
      </c>
      <c r="E23" s="2">
        <v>65.947999999999993</v>
      </c>
      <c r="F23" s="2">
        <v>65.38</v>
      </c>
      <c r="G23" s="2">
        <v>65.94</v>
      </c>
      <c r="H23" s="2">
        <v>65.364000000000004</v>
      </c>
      <c r="I23" s="2">
        <v>65.304000000000002</v>
      </c>
    </row>
    <row r="24" spans="1:9">
      <c r="A24" s="4" t="s">
        <v>32</v>
      </c>
      <c r="B24" s="2">
        <v>88.3333333333333</v>
      </c>
      <c r="C24" s="2">
        <v>87.2222222222222</v>
      </c>
      <c r="D24" s="2">
        <v>90</v>
      </c>
      <c r="E24" s="2">
        <v>90</v>
      </c>
      <c r="F24" s="2">
        <v>91.1111111111111</v>
      </c>
      <c r="G24" s="2">
        <v>89.4444444444444</v>
      </c>
      <c r="H24" s="2">
        <v>90</v>
      </c>
      <c r="I24" s="2">
        <v>91.6666666666667</v>
      </c>
    </row>
    <row r="25" spans="1:9">
      <c r="A25" s="4" t="s">
        <v>0</v>
      </c>
      <c r="B25" s="2">
        <v>42.416869424168702</v>
      </c>
      <c r="C25" s="2">
        <v>42.7818329278183</v>
      </c>
      <c r="D25" s="2">
        <v>42.579075425790798</v>
      </c>
      <c r="E25" s="2">
        <v>42.741281427412801</v>
      </c>
      <c r="F25" s="2">
        <v>43.309002433090001</v>
      </c>
      <c r="G25" s="2">
        <v>43.187347931873497</v>
      </c>
      <c r="H25" s="2">
        <v>42.660178426601803</v>
      </c>
      <c r="I25" s="2">
        <v>45.579886455798899</v>
      </c>
    </row>
    <row r="26" spans="1:9">
      <c r="A26" s="4" t="s">
        <v>33</v>
      </c>
      <c r="B26" s="2">
        <v>63</v>
      </c>
      <c r="C26" s="2">
        <v>61</v>
      </c>
      <c r="D26" s="2">
        <v>62</v>
      </c>
      <c r="E26" s="2">
        <v>62</v>
      </c>
      <c r="F26" s="2">
        <v>63</v>
      </c>
      <c r="G26" s="2">
        <v>62</v>
      </c>
      <c r="H26" s="2">
        <v>64</v>
      </c>
      <c r="I26" s="2">
        <v>64</v>
      </c>
    </row>
    <row r="27" spans="1:9">
      <c r="A27" s="4" t="s">
        <v>34</v>
      </c>
      <c r="B27" s="2">
        <v>97.7777777777778</v>
      </c>
      <c r="C27" s="2">
        <v>97.7777777777778</v>
      </c>
      <c r="D27" s="2">
        <v>98.8888888888889</v>
      </c>
      <c r="E27" s="2">
        <v>97.7777777777778</v>
      </c>
      <c r="F27" s="2">
        <v>97.7777777777778</v>
      </c>
      <c r="G27" s="2">
        <v>97.2222222222222</v>
      </c>
      <c r="H27" s="2">
        <v>97.2222222222222</v>
      </c>
      <c r="I27" s="2">
        <v>97.2222222222222</v>
      </c>
    </row>
    <row r="28" spans="1:9">
      <c r="A28" s="4" t="s">
        <v>35</v>
      </c>
      <c r="B28" s="2">
        <v>98.942252715837597</v>
      </c>
      <c r="C28" s="2">
        <v>98.970840480274404</v>
      </c>
      <c r="D28" s="2">
        <v>98.970840480274404</v>
      </c>
      <c r="E28" s="2">
        <v>99.142367066895403</v>
      </c>
      <c r="F28" s="2">
        <v>99.028016009148104</v>
      </c>
      <c r="G28" s="2">
        <v>99.056603773584897</v>
      </c>
      <c r="H28" s="2">
        <v>99.228130360205796</v>
      </c>
      <c r="I28" s="2">
        <v>99.113779302458596</v>
      </c>
    </row>
    <row r="29" spans="1:9">
      <c r="A29" s="4" t="s">
        <v>36</v>
      </c>
      <c r="B29" s="2">
        <v>27.796003578884601</v>
      </c>
      <c r="C29" s="2">
        <v>28.213540113331302</v>
      </c>
      <c r="D29" s="2">
        <v>29.7345660602446</v>
      </c>
      <c r="E29" s="2">
        <v>30.301222785565201</v>
      </c>
      <c r="F29" s="2">
        <v>28.780196838652</v>
      </c>
      <c r="G29" s="2">
        <v>29.0784372203996</v>
      </c>
      <c r="H29" s="2">
        <v>29.6152699075455</v>
      </c>
      <c r="I29" s="2">
        <v>29.466149716671602</v>
      </c>
    </row>
    <row r="30" spans="1:9">
      <c r="A30" s="4" t="s">
        <v>37</v>
      </c>
      <c r="B30" s="2">
        <v>90.789473684210506</v>
      </c>
      <c r="C30" s="2">
        <v>91.447368421052602</v>
      </c>
      <c r="D30" s="2">
        <v>88.815789473684205</v>
      </c>
      <c r="E30" s="2">
        <v>87.5</v>
      </c>
      <c r="F30" s="2">
        <v>90.131578947368396</v>
      </c>
      <c r="G30" s="2">
        <v>92.763157894736807</v>
      </c>
      <c r="H30" s="2">
        <v>90.131578947368396</v>
      </c>
      <c r="I30" s="2">
        <v>90.131578947368396</v>
      </c>
    </row>
    <row r="31" spans="1:9">
      <c r="A31" s="4" t="s">
        <v>38</v>
      </c>
      <c r="B31" s="2">
        <v>53.3333333333333</v>
      </c>
      <c r="C31" s="2">
        <v>60</v>
      </c>
      <c r="D31" s="2">
        <v>60</v>
      </c>
      <c r="E31" s="2">
        <v>66.6666666666667</v>
      </c>
      <c r="F31" s="2">
        <v>73.3333333333333</v>
      </c>
      <c r="G31" s="2">
        <v>60</v>
      </c>
      <c r="H31" s="2">
        <v>53.3333333333333</v>
      </c>
      <c r="I31" s="2">
        <v>60</v>
      </c>
    </row>
    <row r="32" spans="1:9">
      <c r="A32" s="4" t="s">
        <v>39</v>
      </c>
      <c r="B32" s="2">
        <f>AVERAGE(B2:B11)</f>
        <v>77.279665317737056</v>
      </c>
      <c r="C32" s="2">
        <f t="shared" ref="C32:I32" si="0">AVERAGE(C2:C11)</f>
        <v>76.938451797220324</v>
      </c>
      <c r="D32" s="2">
        <f t="shared" si="0"/>
        <v>76.451446216846037</v>
      </c>
      <c r="E32" s="2">
        <f>AVERAGE(E2:E11)</f>
        <v>76.422480520641045</v>
      </c>
      <c r="F32" s="2">
        <f t="shared" si="0"/>
        <v>76.252815625361009</v>
      </c>
      <c r="G32" s="2">
        <f t="shared" si="0"/>
        <v>76.298836095152438</v>
      </c>
      <c r="H32" s="2">
        <f t="shared" si="0"/>
        <v>76.30929202782022</v>
      </c>
      <c r="I32" s="2">
        <f t="shared" si="0"/>
        <v>75.938168964009108</v>
      </c>
    </row>
    <row r="33" spans="1:9">
      <c r="A33" s="4" t="s">
        <v>40</v>
      </c>
      <c r="B33" s="2">
        <f>AVERAGE(B2:B31)</f>
        <v>77.400079505559304</v>
      </c>
      <c r="C33" s="2">
        <f t="shared" ref="C33:I33" si="1">AVERAGE(C2:C31)</f>
        <v>77.102343785587905</v>
      </c>
      <c r="D33" s="2">
        <f t="shared" si="1"/>
        <v>77.041758188960159</v>
      </c>
      <c r="E33" s="2">
        <f>AVERAGE(E2:E31)</f>
        <v>77.767160144415826</v>
      </c>
      <c r="F33" s="2">
        <f t="shared" si="1"/>
        <v>77.707216187531898</v>
      </c>
      <c r="G33" s="2">
        <f t="shared" si="1"/>
        <v>77.148415257334321</v>
      </c>
      <c r="H33" s="2">
        <f t="shared" si="1"/>
        <v>77.084679750931585</v>
      </c>
      <c r="I33" s="2">
        <f t="shared" si="1"/>
        <v>77.054559706543941</v>
      </c>
    </row>
    <row r="34" spans="1:9">
      <c r="A34" s="4" t="s">
        <v>41</v>
      </c>
      <c r="B34" s="3">
        <f t="shared" ref="B34:I34" si="2">B66</f>
        <v>3.8666666666666667</v>
      </c>
      <c r="C34" s="3">
        <f t="shared" si="2"/>
        <v>3.9333333333333331</v>
      </c>
      <c r="D34" s="3">
        <f t="shared" si="2"/>
        <v>3.8</v>
      </c>
      <c r="E34" s="3">
        <f>E66</f>
        <v>3.6</v>
      </c>
      <c r="F34" s="3">
        <f t="shared" si="2"/>
        <v>3.6333333333333333</v>
      </c>
      <c r="G34" s="3">
        <f t="shared" si="2"/>
        <v>3.7</v>
      </c>
      <c r="H34" s="3">
        <f t="shared" si="2"/>
        <v>3.8</v>
      </c>
      <c r="I34" s="3">
        <f t="shared" si="2"/>
        <v>4.1333333333333337</v>
      </c>
    </row>
    <row r="36" spans="1:9">
      <c r="A36" t="str">
        <f>A2</f>
        <v>EC</v>
      </c>
      <c r="B36">
        <f t="shared" ref="B36:I45" si="3">RANK(B2,$B2:$I2)</f>
        <v>1</v>
      </c>
      <c r="C36">
        <f t="shared" si="3"/>
        <v>2</v>
      </c>
      <c r="D36">
        <f t="shared" si="3"/>
        <v>4</v>
      </c>
      <c r="E36">
        <f t="shared" si="3"/>
        <v>3</v>
      </c>
      <c r="F36">
        <f t="shared" si="3"/>
        <v>5</v>
      </c>
      <c r="G36">
        <f t="shared" si="3"/>
        <v>6</v>
      </c>
      <c r="H36">
        <f t="shared" si="3"/>
        <v>7</v>
      </c>
      <c r="I36">
        <f t="shared" si="3"/>
        <v>8</v>
      </c>
    </row>
    <row r="37" spans="1:9">
      <c r="A37" t="str">
        <f t="shared" ref="A37:A65" si="4">A3</f>
        <v>FD</v>
      </c>
      <c r="B37">
        <f t="shared" si="3"/>
        <v>5</v>
      </c>
      <c r="C37">
        <f t="shared" si="3"/>
        <v>7</v>
      </c>
      <c r="D37">
        <f t="shared" si="3"/>
        <v>3</v>
      </c>
      <c r="E37">
        <f t="shared" si="3"/>
        <v>3</v>
      </c>
      <c r="F37">
        <f t="shared" si="3"/>
        <v>8</v>
      </c>
      <c r="G37">
        <f t="shared" si="3"/>
        <v>1</v>
      </c>
      <c r="H37">
        <f t="shared" si="3"/>
        <v>6</v>
      </c>
      <c r="I37">
        <f t="shared" si="3"/>
        <v>2</v>
      </c>
    </row>
    <row r="38" spans="1:9">
      <c r="A38" t="str">
        <f t="shared" si="4"/>
        <v>HW</v>
      </c>
      <c r="B38">
        <f t="shared" si="3"/>
        <v>4</v>
      </c>
      <c r="C38">
        <f t="shared" si="3"/>
        <v>3</v>
      </c>
      <c r="D38">
        <f t="shared" si="3"/>
        <v>7</v>
      </c>
      <c r="E38">
        <f t="shared" si="3"/>
        <v>5</v>
      </c>
      <c r="F38">
        <f t="shared" si="3"/>
        <v>2</v>
      </c>
      <c r="G38">
        <f t="shared" si="3"/>
        <v>1</v>
      </c>
      <c r="H38">
        <f t="shared" si="3"/>
        <v>6</v>
      </c>
      <c r="I38">
        <f t="shared" si="3"/>
        <v>8</v>
      </c>
    </row>
    <row r="39" spans="1:9">
      <c r="A39" t="str">
        <f t="shared" si="4"/>
        <v>HB</v>
      </c>
      <c r="B39">
        <f t="shared" si="3"/>
        <v>1</v>
      </c>
      <c r="C39">
        <f t="shared" si="3"/>
        <v>3</v>
      </c>
      <c r="D39">
        <f t="shared" si="3"/>
        <v>6</v>
      </c>
      <c r="E39">
        <f t="shared" si="3"/>
        <v>6</v>
      </c>
      <c r="F39">
        <f t="shared" si="3"/>
        <v>2</v>
      </c>
      <c r="G39">
        <f t="shared" si="3"/>
        <v>3</v>
      </c>
      <c r="H39">
        <f t="shared" si="3"/>
        <v>6</v>
      </c>
      <c r="I39">
        <f t="shared" si="3"/>
        <v>3</v>
      </c>
    </row>
    <row r="40" spans="1:9">
      <c r="A40" t="str">
        <f t="shared" si="4"/>
        <v>JV</v>
      </c>
      <c r="B40">
        <f t="shared" si="3"/>
        <v>2</v>
      </c>
      <c r="C40">
        <f t="shared" si="3"/>
        <v>2</v>
      </c>
      <c r="D40">
        <f t="shared" si="3"/>
        <v>2</v>
      </c>
      <c r="E40">
        <f t="shared" si="3"/>
        <v>6</v>
      </c>
      <c r="F40">
        <f t="shared" si="3"/>
        <v>6</v>
      </c>
      <c r="G40">
        <f t="shared" si="3"/>
        <v>2</v>
      </c>
      <c r="H40">
        <f t="shared" si="3"/>
        <v>1</v>
      </c>
      <c r="I40">
        <f t="shared" si="3"/>
        <v>6</v>
      </c>
    </row>
    <row r="41" spans="1:9">
      <c r="A41" t="str">
        <f t="shared" si="4"/>
        <v>PEMS</v>
      </c>
      <c r="B41">
        <f t="shared" si="3"/>
        <v>6</v>
      </c>
      <c r="C41">
        <f t="shared" si="3"/>
        <v>5</v>
      </c>
      <c r="D41">
        <f t="shared" si="3"/>
        <v>1</v>
      </c>
      <c r="E41">
        <f t="shared" si="3"/>
        <v>3</v>
      </c>
      <c r="F41">
        <f t="shared" si="3"/>
        <v>4</v>
      </c>
      <c r="G41">
        <f t="shared" si="3"/>
        <v>8</v>
      </c>
      <c r="H41">
        <f t="shared" si="3"/>
        <v>1</v>
      </c>
      <c r="I41">
        <f t="shared" si="3"/>
        <v>6</v>
      </c>
    </row>
    <row r="42" spans="1:9">
      <c r="A42" t="str">
        <f t="shared" si="4"/>
        <v>SRS1</v>
      </c>
      <c r="B42">
        <f t="shared" si="3"/>
        <v>1</v>
      </c>
      <c r="C42">
        <f t="shared" si="3"/>
        <v>3</v>
      </c>
      <c r="D42">
        <f t="shared" si="3"/>
        <v>6</v>
      </c>
      <c r="E42">
        <f t="shared" si="3"/>
        <v>6</v>
      </c>
      <c r="F42">
        <f t="shared" si="3"/>
        <v>6</v>
      </c>
      <c r="G42">
        <f t="shared" si="3"/>
        <v>3</v>
      </c>
      <c r="H42">
        <f t="shared" si="3"/>
        <v>1</v>
      </c>
      <c r="I42">
        <f t="shared" si="3"/>
        <v>5</v>
      </c>
    </row>
    <row r="43" spans="1:9">
      <c r="A43" t="str">
        <f t="shared" si="4"/>
        <v>SRS2</v>
      </c>
      <c r="B43">
        <f t="shared" si="3"/>
        <v>5</v>
      </c>
      <c r="C43">
        <f t="shared" si="3"/>
        <v>4</v>
      </c>
      <c r="D43">
        <f t="shared" si="3"/>
        <v>2</v>
      </c>
      <c r="E43">
        <f t="shared" si="3"/>
        <v>2</v>
      </c>
      <c r="F43">
        <f t="shared" si="3"/>
        <v>5</v>
      </c>
      <c r="G43">
        <f t="shared" si="3"/>
        <v>5</v>
      </c>
      <c r="H43">
        <f t="shared" si="3"/>
        <v>5</v>
      </c>
      <c r="I43">
        <f t="shared" si="3"/>
        <v>1</v>
      </c>
    </row>
    <row r="44" spans="1:9">
      <c r="A44" t="str">
        <f t="shared" si="4"/>
        <v>SAD</v>
      </c>
      <c r="B44">
        <f t="shared" si="3"/>
        <v>7</v>
      </c>
      <c r="C44">
        <f t="shared" si="3"/>
        <v>7</v>
      </c>
      <c r="D44">
        <f t="shared" si="3"/>
        <v>1</v>
      </c>
      <c r="E44">
        <f t="shared" si="3"/>
        <v>5</v>
      </c>
      <c r="F44">
        <f t="shared" si="3"/>
        <v>3</v>
      </c>
      <c r="G44">
        <f t="shared" si="3"/>
        <v>2</v>
      </c>
      <c r="H44">
        <f t="shared" si="3"/>
        <v>3</v>
      </c>
      <c r="I44">
        <f t="shared" si="3"/>
        <v>6</v>
      </c>
    </row>
    <row r="45" spans="1:9">
      <c r="A45" t="str">
        <f t="shared" si="4"/>
        <v>UW</v>
      </c>
      <c r="B45">
        <f t="shared" si="3"/>
        <v>1</v>
      </c>
      <c r="C45">
        <f t="shared" si="3"/>
        <v>1</v>
      </c>
      <c r="D45">
        <f t="shared" si="3"/>
        <v>6</v>
      </c>
      <c r="E45">
        <f t="shared" si="3"/>
        <v>7</v>
      </c>
      <c r="F45">
        <f t="shared" si="3"/>
        <v>5</v>
      </c>
      <c r="G45">
        <f t="shared" si="3"/>
        <v>1</v>
      </c>
      <c r="H45">
        <f t="shared" si="3"/>
        <v>4</v>
      </c>
      <c r="I45">
        <f t="shared" si="3"/>
        <v>7</v>
      </c>
    </row>
    <row r="46" spans="1:9">
      <c r="A46" t="str">
        <f t="shared" si="4"/>
        <v>AWR</v>
      </c>
      <c r="B46">
        <f t="shared" ref="B46:I55" si="5">RANK(B12,$B12:$I12)</f>
        <v>5</v>
      </c>
      <c r="C46">
        <f t="shared" si="5"/>
        <v>1</v>
      </c>
      <c r="D46">
        <f t="shared" si="5"/>
        <v>1</v>
      </c>
      <c r="E46">
        <f t="shared" si="5"/>
        <v>1</v>
      </c>
      <c r="F46">
        <f t="shared" si="5"/>
        <v>5</v>
      </c>
      <c r="G46">
        <f t="shared" si="5"/>
        <v>8</v>
      </c>
      <c r="H46">
        <f t="shared" si="5"/>
        <v>5</v>
      </c>
      <c r="I46">
        <f t="shared" si="5"/>
        <v>1</v>
      </c>
    </row>
    <row r="47" spans="1:9">
      <c r="A47" t="str">
        <f t="shared" si="4"/>
        <v>AF</v>
      </c>
      <c r="B47">
        <f t="shared" si="5"/>
        <v>1</v>
      </c>
      <c r="C47">
        <f t="shared" si="5"/>
        <v>4</v>
      </c>
      <c r="D47">
        <f t="shared" si="5"/>
        <v>4</v>
      </c>
      <c r="E47">
        <f t="shared" si="5"/>
        <v>1</v>
      </c>
      <c r="F47">
        <f t="shared" si="5"/>
        <v>4</v>
      </c>
      <c r="G47">
        <f t="shared" si="5"/>
        <v>4</v>
      </c>
      <c r="H47">
        <f t="shared" si="5"/>
        <v>1</v>
      </c>
      <c r="I47">
        <f t="shared" si="5"/>
        <v>4</v>
      </c>
    </row>
    <row r="48" spans="1:9">
      <c r="A48" t="str">
        <f t="shared" si="4"/>
        <v>BM</v>
      </c>
      <c r="B48">
        <f t="shared" si="5"/>
        <v>1</v>
      </c>
      <c r="C48">
        <f t="shared" si="5"/>
        <v>1</v>
      </c>
      <c r="D48">
        <f t="shared" si="5"/>
        <v>1</v>
      </c>
      <c r="E48">
        <f t="shared" si="5"/>
        <v>1</v>
      </c>
      <c r="F48">
        <f t="shared" si="5"/>
        <v>1</v>
      </c>
      <c r="G48">
        <f t="shared" si="5"/>
        <v>1</v>
      </c>
      <c r="H48">
        <f t="shared" si="5"/>
        <v>1</v>
      </c>
      <c r="I48">
        <f t="shared" si="5"/>
        <v>1</v>
      </c>
    </row>
    <row r="49" spans="1:9">
      <c r="A49" t="str">
        <f t="shared" si="4"/>
        <v>CT</v>
      </c>
      <c r="B49">
        <f t="shared" si="5"/>
        <v>3</v>
      </c>
      <c r="C49">
        <f t="shared" si="5"/>
        <v>2</v>
      </c>
      <c r="D49">
        <f t="shared" si="5"/>
        <v>6</v>
      </c>
      <c r="E49">
        <f t="shared" si="5"/>
        <v>8</v>
      </c>
      <c r="F49">
        <f t="shared" si="5"/>
        <v>1</v>
      </c>
      <c r="G49">
        <f t="shared" si="5"/>
        <v>3</v>
      </c>
      <c r="H49">
        <f t="shared" si="5"/>
        <v>3</v>
      </c>
      <c r="I49">
        <f t="shared" si="5"/>
        <v>7</v>
      </c>
    </row>
    <row r="50" spans="1:9">
      <c r="A50" t="str">
        <f t="shared" si="4"/>
        <v>CR</v>
      </c>
      <c r="B50">
        <f t="shared" si="5"/>
        <v>5</v>
      </c>
      <c r="C50">
        <f t="shared" si="5"/>
        <v>5</v>
      </c>
      <c r="D50">
        <f t="shared" si="5"/>
        <v>1</v>
      </c>
      <c r="E50">
        <f t="shared" si="5"/>
        <v>1</v>
      </c>
      <c r="F50">
        <f t="shared" si="5"/>
        <v>5</v>
      </c>
      <c r="G50">
        <f t="shared" si="5"/>
        <v>5</v>
      </c>
      <c r="H50">
        <f t="shared" si="5"/>
        <v>1</v>
      </c>
      <c r="I50">
        <f t="shared" si="5"/>
        <v>1</v>
      </c>
    </row>
    <row r="51" spans="1:9">
      <c r="A51" t="str">
        <f t="shared" si="4"/>
        <v>DDG</v>
      </c>
      <c r="B51">
        <f t="shared" si="5"/>
        <v>4</v>
      </c>
      <c r="C51">
        <f t="shared" si="5"/>
        <v>1</v>
      </c>
      <c r="D51">
        <f t="shared" si="5"/>
        <v>4</v>
      </c>
      <c r="E51">
        <f t="shared" si="5"/>
        <v>4</v>
      </c>
      <c r="F51">
        <f t="shared" si="5"/>
        <v>2</v>
      </c>
      <c r="G51">
        <f t="shared" si="5"/>
        <v>2</v>
      </c>
      <c r="H51">
        <f t="shared" si="5"/>
        <v>4</v>
      </c>
      <c r="I51">
        <f t="shared" si="5"/>
        <v>4</v>
      </c>
    </row>
    <row r="52" spans="1:9">
      <c r="A52" t="str">
        <f t="shared" si="4"/>
        <v>EW</v>
      </c>
      <c r="B52">
        <f t="shared" si="5"/>
        <v>5</v>
      </c>
      <c r="C52">
        <f t="shared" si="5"/>
        <v>7</v>
      </c>
      <c r="D52">
        <f t="shared" si="5"/>
        <v>1</v>
      </c>
      <c r="E52">
        <f t="shared" si="5"/>
        <v>5</v>
      </c>
      <c r="F52">
        <f t="shared" si="5"/>
        <v>3</v>
      </c>
      <c r="G52">
        <f t="shared" si="5"/>
        <v>8</v>
      </c>
      <c r="H52">
        <f t="shared" si="5"/>
        <v>1</v>
      </c>
      <c r="I52">
        <f t="shared" si="5"/>
        <v>3</v>
      </c>
    </row>
    <row r="53" spans="1:9">
      <c r="A53" t="str">
        <f t="shared" si="4"/>
        <v>EP</v>
      </c>
      <c r="B53">
        <f t="shared" si="5"/>
        <v>3</v>
      </c>
      <c r="C53">
        <f t="shared" si="5"/>
        <v>3</v>
      </c>
      <c r="D53">
        <f t="shared" si="5"/>
        <v>3</v>
      </c>
      <c r="E53">
        <f t="shared" si="5"/>
        <v>3</v>
      </c>
      <c r="F53">
        <f t="shared" si="5"/>
        <v>3</v>
      </c>
      <c r="G53">
        <f t="shared" si="5"/>
        <v>1</v>
      </c>
      <c r="H53">
        <f t="shared" si="5"/>
        <v>3</v>
      </c>
      <c r="I53">
        <f t="shared" si="5"/>
        <v>1</v>
      </c>
    </row>
    <row r="54" spans="1:9">
      <c r="A54" t="str">
        <f t="shared" si="4"/>
        <v>ER</v>
      </c>
      <c r="B54">
        <f t="shared" si="5"/>
        <v>3</v>
      </c>
      <c r="C54">
        <f t="shared" si="5"/>
        <v>3</v>
      </c>
      <c r="D54">
        <f t="shared" si="5"/>
        <v>6</v>
      </c>
      <c r="E54">
        <f t="shared" si="5"/>
        <v>1</v>
      </c>
      <c r="F54">
        <f t="shared" si="5"/>
        <v>2</v>
      </c>
      <c r="G54">
        <f t="shared" si="5"/>
        <v>3</v>
      </c>
      <c r="H54">
        <f t="shared" si="5"/>
        <v>8</v>
      </c>
      <c r="I54">
        <f t="shared" si="5"/>
        <v>6</v>
      </c>
    </row>
    <row r="55" spans="1:9">
      <c r="A55" t="str">
        <f t="shared" si="4"/>
        <v>FM</v>
      </c>
      <c r="B55">
        <f t="shared" si="5"/>
        <v>4</v>
      </c>
      <c r="C55">
        <f t="shared" si="5"/>
        <v>8</v>
      </c>
      <c r="D55">
        <f t="shared" si="5"/>
        <v>2</v>
      </c>
      <c r="E55">
        <f t="shared" si="5"/>
        <v>1</v>
      </c>
      <c r="F55">
        <f t="shared" si="5"/>
        <v>3</v>
      </c>
      <c r="G55">
        <f t="shared" si="5"/>
        <v>6</v>
      </c>
      <c r="H55">
        <f t="shared" si="5"/>
        <v>4</v>
      </c>
      <c r="I55">
        <f t="shared" si="5"/>
        <v>6</v>
      </c>
    </row>
    <row r="56" spans="1:9">
      <c r="A56" t="str">
        <f t="shared" si="4"/>
        <v>HMD</v>
      </c>
      <c r="B56">
        <f t="shared" ref="B56:I65" si="6">RANK(B22,$B22:$I22)</f>
        <v>2</v>
      </c>
      <c r="C56">
        <f t="shared" si="6"/>
        <v>4</v>
      </c>
      <c r="D56">
        <f t="shared" si="6"/>
        <v>8</v>
      </c>
      <c r="E56">
        <f t="shared" si="6"/>
        <v>5</v>
      </c>
      <c r="F56">
        <f t="shared" si="6"/>
        <v>3</v>
      </c>
      <c r="G56">
        <f t="shared" si="6"/>
        <v>1</v>
      </c>
      <c r="H56">
        <f t="shared" si="6"/>
        <v>5</v>
      </c>
      <c r="I56">
        <f t="shared" si="6"/>
        <v>7</v>
      </c>
    </row>
    <row r="57" spans="1:9">
      <c r="A57" t="str">
        <f t="shared" si="4"/>
        <v>IW</v>
      </c>
      <c r="B57">
        <f t="shared" si="6"/>
        <v>1</v>
      </c>
      <c r="C57">
        <f t="shared" si="6"/>
        <v>2</v>
      </c>
      <c r="D57">
        <f t="shared" si="6"/>
        <v>5</v>
      </c>
      <c r="E57">
        <f t="shared" si="6"/>
        <v>3</v>
      </c>
      <c r="F57">
        <f t="shared" si="6"/>
        <v>6</v>
      </c>
      <c r="G57">
        <f t="shared" si="6"/>
        <v>4</v>
      </c>
      <c r="H57">
        <f t="shared" si="6"/>
        <v>7</v>
      </c>
      <c r="I57">
        <f t="shared" si="6"/>
        <v>8</v>
      </c>
    </row>
    <row r="58" spans="1:9">
      <c r="A58" t="str">
        <f t="shared" si="4"/>
        <v>LIB</v>
      </c>
      <c r="B58">
        <f t="shared" si="6"/>
        <v>7</v>
      </c>
      <c r="C58">
        <f t="shared" si="6"/>
        <v>8</v>
      </c>
      <c r="D58">
        <f t="shared" si="6"/>
        <v>3</v>
      </c>
      <c r="E58">
        <f t="shared" si="6"/>
        <v>3</v>
      </c>
      <c r="F58">
        <f t="shared" si="6"/>
        <v>2</v>
      </c>
      <c r="G58">
        <f t="shared" si="6"/>
        <v>6</v>
      </c>
      <c r="H58">
        <f t="shared" si="6"/>
        <v>3</v>
      </c>
      <c r="I58">
        <f t="shared" si="6"/>
        <v>1</v>
      </c>
    </row>
    <row r="59" spans="1:9">
      <c r="A59" t="str">
        <f t="shared" si="4"/>
        <v>LSST</v>
      </c>
      <c r="B59">
        <f t="shared" si="6"/>
        <v>8</v>
      </c>
      <c r="C59">
        <f t="shared" si="6"/>
        <v>4</v>
      </c>
      <c r="D59">
        <f t="shared" si="6"/>
        <v>7</v>
      </c>
      <c r="E59">
        <f t="shared" si="6"/>
        <v>5</v>
      </c>
      <c r="F59">
        <f t="shared" si="6"/>
        <v>2</v>
      </c>
      <c r="G59">
        <f t="shared" si="6"/>
        <v>3</v>
      </c>
      <c r="H59">
        <f t="shared" si="6"/>
        <v>6</v>
      </c>
      <c r="I59">
        <f t="shared" si="6"/>
        <v>1</v>
      </c>
    </row>
    <row r="60" spans="1:9">
      <c r="A60" t="str">
        <f t="shared" si="4"/>
        <v>MI</v>
      </c>
      <c r="B60">
        <f t="shared" si="6"/>
        <v>3</v>
      </c>
      <c r="C60">
        <f t="shared" si="6"/>
        <v>8</v>
      </c>
      <c r="D60">
        <f t="shared" si="6"/>
        <v>5</v>
      </c>
      <c r="E60">
        <f t="shared" si="6"/>
        <v>5</v>
      </c>
      <c r="F60">
        <f t="shared" si="6"/>
        <v>3</v>
      </c>
      <c r="G60">
        <f t="shared" si="6"/>
        <v>5</v>
      </c>
      <c r="H60">
        <f t="shared" si="6"/>
        <v>1</v>
      </c>
      <c r="I60">
        <f t="shared" si="6"/>
        <v>1</v>
      </c>
    </row>
    <row r="61" spans="1:9">
      <c r="A61" t="str">
        <f t="shared" si="4"/>
        <v>NATO</v>
      </c>
      <c r="B61">
        <f t="shared" si="6"/>
        <v>2</v>
      </c>
      <c r="C61">
        <f t="shared" si="6"/>
        <v>2</v>
      </c>
      <c r="D61">
        <f t="shared" si="6"/>
        <v>1</v>
      </c>
      <c r="E61">
        <f t="shared" si="6"/>
        <v>2</v>
      </c>
      <c r="F61">
        <f t="shared" si="6"/>
        <v>2</v>
      </c>
      <c r="G61">
        <f t="shared" si="6"/>
        <v>6</v>
      </c>
      <c r="H61">
        <f t="shared" si="6"/>
        <v>6</v>
      </c>
      <c r="I61">
        <f t="shared" si="6"/>
        <v>6</v>
      </c>
    </row>
    <row r="62" spans="1:9">
      <c r="A62" t="str">
        <f t="shared" si="4"/>
        <v>PD</v>
      </c>
      <c r="B62">
        <f t="shared" si="6"/>
        <v>8</v>
      </c>
      <c r="C62">
        <f t="shared" si="6"/>
        <v>6</v>
      </c>
      <c r="D62">
        <f t="shared" si="6"/>
        <v>6</v>
      </c>
      <c r="E62">
        <f t="shared" si="6"/>
        <v>2</v>
      </c>
      <c r="F62">
        <f t="shared" si="6"/>
        <v>5</v>
      </c>
      <c r="G62">
        <f t="shared" si="6"/>
        <v>4</v>
      </c>
      <c r="H62">
        <f t="shared" si="6"/>
        <v>1</v>
      </c>
      <c r="I62">
        <f t="shared" si="6"/>
        <v>3</v>
      </c>
    </row>
    <row r="63" spans="1:9">
      <c r="A63" t="str">
        <f t="shared" si="4"/>
        <v>PS</v>
      </c>
      <c r="B63">
        <f t="shared" si="6"/>
        <v>8</v>
      </c>
      <c r="C63">
        <f t="shared" si="6"/>
        <v>7</v>
      </c>
      <c r="D63">
        <f t="shared" si="6"/>
        <v>2</v>
      </c>
      <c r="E63">
        <f t="shared" si="6"/>
        <v>1</v>
      </c>
      <c r="F63">
        <f t="shared" si="6"/>
        <v>6</v>
      </c>
      <c r="G63">
        <f t="shared" si="6"/>
        <v>5</v>
      </c>
      <c r="H63">
        <f t="shared" si="6"/>
        <v>3</v>
      </c>
      <c r="I63">
        <f t="shared" si="6"/>
        <v>4</v>
      </c>
    </row>
    <row r="64" spans="1:9">
      <c r="A64" t="str">
        <f>A30</f>
        <v>RS</v>
      </c>
      <c r="B64">
        <f t="shared" si="6"/>
        <v>3</v>
      </c>
      <c r="C64">
        <f t="shared" si="6"/>
        <v>2</v>
      </c>
      <c r="D64">
        <f t="shared" si="6"/>
        <v>7</v>
      </c>
      <c r="E64">
        <f t="shared" si="6"/>
        <v>8</v>
      </c>
      <c r="F64">
        <f t="shared" si="6"/>
        <v>4</v>
      </c>
      <c r="G64">
        <f t="shared" si="6"/>
        <v>1</v>
      </c>
      <c r="H64">
        <f t="shared" si="6"/>
        <v>4</v>
      </c>
      <c r="I64">
        <f t="shared" si="6"/>
        <v>4</v>
      </c>
    </row>
    <row r="65" spans="1:9">
      <c r="A65" t="str">
        <f t="shared" si="4"/>
        <v>SWJ</v>
      </c>
      <c r="B65">
        <f t="shared" si="6"/>
        <v>7</v>
      </c>
      <c r="C65">
        <f t="shared" si="6"/>
        <v>3</v>
      </c>
      <c r="D65">
        <f t="shared" si="6"/>
        <v>3</v>
      </c>
      <c r="E65">
        <f t="shared" si="6"/>
        <v>2</v>
      </c>
      <c r="F65">
        <f t="shared" si="6"/>
        <v>1</v>
      </c>
      <c r="G65">
        <f t="shared" si="6"/>
        <v>3</v>
      </c>
      <c r="H65">
        <f t="shared" si="6"/>
        <v>7</v>
      </c>
      <c r="I65">
        <f t="shared" si="6"/>
        <v>3</v>
      </c>
    </row>
    <row r="66" spans="1:9">
      <c r="A66" t="s">
        <v>42</v>
      </c>
      <c r="B66">
        <f>AVERAGE(B36:B65)</f>
        <v>3.8666666666666667</v>
      </c>
      <c r="C66">
        <f t="shared" ref="C66:I66" si="7">AVERAGE(C36:C65)</f>
        <v>3.9333333333333331</v>
      </c>
      <c r="D66">
        <f t="shared" si="7"/>
        <v>3.8</v>
      </c>
      <c r="E66">
        <f>AVERAGE(E36:E65)</f>
        <v>3.6</v>
      </c>
      <c r="F66">
        <f t="shared" si="7"/>
        <v>3.6333333333333333</v>
      </c>
      <c r="G66">
        <f t="shared" si="7"/>
        <v>3.7</v>
      </c>
      <c r="H66">
        <f t="shared" si="7"/>
        <v>3.8</v>
      </c>
      <c r="I66">
        <f t="shared" si="7"/>
        <v>4.1333333333333337</v>
      </c>
    </row>
  </sheetData>
  <phoneticPr fontId="2" type="noConversion"/>
  <conditionalFormatting sqref="B32:I32">
    <cfRule type="colorScale" priority="3">
      <colorScale>
        <cfvo type="min"/>
        <cfvo type="max"/>
        <color rgb="FFFCFCFF"/>
        <color rgb="FF63BE7B"/>
      </colorScale>
    </cfRule>
  </conditionalFormatting>
  <conditionalFormatting sqref="B33:I33">
    <cfRule type="colorScale" priority="4">
      <colorScale>
        <cfvo type="min"/>
        <cfvo type="max"/>
        <color rgb="FFFCFCFF"/>
        <color rgb="FF63BE7B"/>
      </colorScale>
    </cfRule>
  </conditionalFormatting>
  <conditionalFormatting sqref="B34:I34">
    <cfRule type="colorScale" priority="2">
      <colorScale>
        <cfvo type="min"/>
        <cfvo type="max"/>
        <color rgb="FFF8696B"/>
        <color rgb="FFFCFCFF"/>
      </colorScale>
    </cfRule>
  </conditionalFormatting>
  <conditionalFormatting sqref="B36:I65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summary</vt:lpstr>
      <vt:lpstr>full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anonymambasl@gmail.com</dc:creator>
  <cp:keywords/>
  <dc:description/>
  <cp:lastModifiedBy>pamela7384@gmail.com</cp:lastModifiedBy>
  <dcterms:created xsi:type="dcterms:W3CDTF">2025-09-02T20:10:12Z</dcterms:created>
  <dcterms:modified xsi:type="dcterms:W3CDTF">2025-09-22T14:01:05Z</dcterms:modified>
  <cp:category/>
</cp:coreProperties>
</file>